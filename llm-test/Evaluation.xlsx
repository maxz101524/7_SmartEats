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YR/Desktop/INFO 490/A7/"/>
    </mc:Choice>
  </mc:AlternateContent>
  <xr:revisionPtr revIDLastSave="0" documentId="13_ncr:1_{CB7AEFAD-9F58-394D-A414-891AFDFCB493}" xr6:coauthVersionLast="47" xr6:coauthVersionMax="47" xr10:uidLastSave="{00000000-0000-0000-0000-000000000000}"/>
  <bookViews>
    <workbookView xWindow="0" yWindow="740" windowWidth="29400" windowHeight="18380" xr2:uid="{AC707FF1-C445-0F47-B4CF-BA015CF52DAE}"/>
  </bookViews>
  <sheets>
    <sheet name="Standard" sheetId="1" r:id="rId1"/>
    <sheet name="by category" sheetId="5" r:id="rId2"/>
    <sheet name="by model" sheetId="6" r:id="rId3"/>
    <sheet name="balance" sheetId="7" r:id="rId4"/>
    <sheet name="balance rank" sheetId="8" r:id="rId5"/>
    <sheet name="Score" sheetId="2" r:id="rId6"/>
  </sheets>
  <definedNames>
    <definedName name="_xlnm._FilterDatabase" localSheetId="5" hidden="1">Score!$F$1:$F$376</definedName>
  </definedNames>
  <calcPr calcId="191029"/>
  <pivotCaches>
    <pivotCache cacheId="1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8" l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2" i="8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7" i="2"/>
  <c r="I8" i="2"/>
  <c r="I9" i="2"/>
  <c r="I10" i="2"/>
  <c r="I3" i="2"/>
  <c r="I4" i="2"/>
  <c r="I5" i="2"/>
  <c r="I6" i="2"/>
  <c r="I2" i="2"/>
  <c r="I11" i="2"/>
</calcChain>
</file>

<file path=xl/sharedStrings.xml><?xml version="1.0" encoding="utf-8"?>
<sst xmlns="http://schemas.openxmlformats.org/spreadsheetml/2006/main" count="1608" uniqueCount="84">
  <si>
    <t>Metric</t>
  </si>
  <si>
    <t>Description</t>
  </si>
  <si>
    <t>Instruction adherence</t>
  </si>
  <si>
    <t>Did the model follow instructions?</t>
  </si>
  <si>
    <t>Accuracy</t>
  </si>
  <si>
    <t>Was the answer correct?</t>
  </si>
  <si>
    <t>Clarity</t>
  </si>
  <si>
    <t>Was the output understandable?</t>
  </si>
  <si>
    <t>Structure</t>
  </si>
  <si>
    <t>Did the output follow the expected format?</t>
  </si>
  <si>
    <t>Tone</t>
  </si>
  <si>
    <t>How was the tone of the responds of each model? (except for classification tasks)</t>
  </si>
  <si>
    <t>Model</t>
  </si>
  <si>
    <t>Model Category</t>
  </si>
  <si>
    <t>Tokens/sec</t>
  </si>
  <si>
    <t>Latency</t>
  </si>
  <si>
    <t>Prompt Type</t>
  </si>
  <si>
    <t>Prompt</t>
  </si>
  <si>
    <t>Self-Evaluation Score (1–10)</t>
  </si>
  <si>
    <t>The final score is the simple average across all metrics</t>
  </si>
  <si>
    <t>Qwen/Qwen2.5-0.5B-Instruct</t>
  </si>
  <si>
    <t>HuggingFaceTB/SmolLM2-360M-Instruct</t>
  </si>
  <si>
    <t>EleutherAI/pythia-410m</t>
  </si>
  <si>
    <t>TinyLlama/TinyLlama-1.1B-Chat-v1.0</t>
  </si>
  <si>
    <t>stabilityai/stablelm-2-zephyr-1_6b</t>
  </si>
  <si>
    <t>microsoft/phi-2</t>
  </si>
  <si>
    <t>Qwen/Qwen2.5-3B-Instruct</t>
  </si>
  <si>
    <t>microsoft/Phi-3-mini-4k-instruct</t>
  </si>
  <si>
    <t>stabilityai/stablelm-zephyr-3b</t>
  </si>
  <si>
    <t>HuggingFaceH4/zephyr-7b-beta</t>
  </si>
  <si>
    <t>NousResearch/Nous-Hermes-2-Mistral-7B-DPO</t>
  </si>
  <si>
    <t>tiiuae/falcon-7b-instruct</t>
  </si>
  <si>
    <t>01-ai/Yi-1.5-9B-Chat</t>
  </si>
  <si>
    <t>upstage/SOLAR-10.7B-Instruct-v1.0</t>
  </si>
  <si>
    <t>lmsys/vicuna-7b-v1.5</t>
  </si>
  <si>
    <t>classification</t>
  </si>
  <si>
    <t>prediction</t>
  </si>
  <si>
    <t>structured_extraction</t>
  </si>
  <si>
    <t>summarization</t>
  </si>
  <si>
    <t>text_generation</t>
  </si>
  <si>
    <t>Based on the selected user's UserProfile (height_cm, weight_kg, body_fat_pct, age, activity_level), classify their most suitable fitness goal. Possible labels: fat_loss, muscle_gain, maintain. Return only the label.</t>
  </si>
  <si>
    <t>Based on the selected user's UserProfile (weight_kg, height_cm, body_fat_pct, activity_level, goal), determine whether their stated goal is appropriate for their current physical condition. Possible labels: match, mismatch. Return only the label.</t>
  </si>
  <si>
    <t>Based on the selected user's MealLog records, classify their eating habit by examining which meal_type entries (breakfast, lunch, dinner) appear or are missing across dates. Possible labels: regular_three_meals, skip_breakfast, skip_lunch, skip_dinner, irregular_meals. Return only the label.</t>
  </si>
  <si>
    <t>Based on the selected user's MealLog records, classify their food preference by examining the meal_name entries. Possible labels: asian_only, western_only, salad_heavy, mixed. Return only the label.</t>
  </si>
  <si>
    <t>Based on the selected user's MealLog records, classify their app engagement level by counting meals logged per day and the number of distinct dates. Possible labels: low_engagement, moderate_engagement, high_engagement. Return only the label.</t>
  </si>
  <si>
    <t>Based on the selected user's WeightLog history, BodyFatLog history, and UserProfile (goal, activity_level), predict their weight trend over the next 30 days. Return a short prediction with expected direction and estimated change.</t>
  </si>
  <si>
    <t>Based on the selected user's MealLog (calories, protein_g, carbs_g, fat_g per meal) and UserProfile (goal, activity_level), predict whether their current intake pattern will support their goal over the next 30 days. Return a short prediction.</t>
  </si>
  <si>
    <t>Based on the selected user's MealLog records, predict whether this user is likely to continue logging meals next week, based on the frequency and recency of their entries. Return: likely or unlikely, with a one-line reason.</t>
  </si>
  <si>
    <t>Based on the selected user's WeightLog trend, BodyFatLog trend, and UserProfile (goal, activity_level), predict whether they are at risk of not achieving their fitness goal. Return: at_risk or on_track, with a one-line reason.</t>
  </si>
  <si>
    <t>Based on the selected user's MealLog records, predict whether their eating habit is likely to change in the next month, based on patterns in meal_type and meal_name. Return a short prediction.</t>
  </si>
  <si>
    <t>From the selected user's UserNote, extract structured information about their eating preferences. Return as key-value pairs.</t>
  </si>
  <si>
    <t>From the selected user's UserNote, extract structured information about their activity level and exercise habits. Return as key-value pairs.</t>
  </si>
  <si>
    <t>From the selected user's UserNote, extract structured information about their fitness goal, including target amount and timeline if mentioned. Return as key-value pairs.</t>
  </si>
  <si>
    <t>From the selected user's UserNote, extract any dietary restrictions mentioned. Return as key-value pairs.</t>
  </si>
  <si>
    <t>From the selected user's UserNote, extract body condition information that may affect their exercise or diet plan. Return as key-value pairs.</t>
  </si>
  <si>
    <t>Based on the selected user's MealLog records, summarize their overall eating behavior in one sentence, covering meal timing, calorie intake, and nutritional balance.</t>
  </si>
  <si>
    <t>Based on the selected user's UserProfile (weight_kg, height_cm, body_fat_pct, activity_level, goal), provide a one-line summary of whether their stated goal is realistic given their current body metrics.</t>
  </si>
  <si>
    <t>Based on the selected user's MealLog records, summarize their diet pattern in one sentence, focusing on meal frequency, meal types, and any noticeable nutritional trends.</t>
  </si>
  <si>
    <t>Based on the selected user's MealLog records and BodyFatLog history, summarize their level of progress and consistency in one sentence.</t>
  </si>
  <si>
    <t>Based on the selected user's WeightLog history, BodyFatLog history, and UserProfile (goal, activity_level), summarize their overall progress toward their fitness goal in one sentence.</t>
  </si>
  <si>
    <t>Generate a personalised good morning greeting for a user who is on a fat loss goal.</t>
  </si>
  <si>
    <t>Generate a short motivational message for a user who has been consistently logging meals but has not seen weight change in 2 weeks.</t>
  </si>
  <si>
    <t>Generate one practical healthy eating tip suitable for a university student with a busy schedule.</t>
  </si>
  <si>
    <t>Generate a short reminder message for a user who has not logged any meals in the past 3 days.</t>
  </si>
  <si>
    <t>Generate one follow-up question to better understand why a user keeps skipping breakfast.</t>
  </si>
  <si>
    <t>Match</t>
  </si>
  <si>
    <t>Evaluates whether the model’s reasoning aligns with its final response.</t>
  </si>
  <si>
    <t>Reasonable</t>
  </si>
  <si>
    <t>Evaluates whether the model’s reasoning is logical and makes sense.</t>
  </si>
  <si>
    <t>4+N222</t>
  </si>
  <si>
    <t xml:space="preserve">Ultra-Light Models </t>
  </si>
  <si>
    <t>Small Models</t>
  </si>
  <si>
    <t>Medium Models</t>
  </si>
  <si>
    <t>Large Models</t>
  </si>
  <si>
    <t>Extra-Large Models</t>
  </si>
  <si>
    <t>Row Labels</t>
  </si>
  <si>
    <t>Grand Total</t>
  </si>
  <si>
    <t>Average of Self-Evaluation Score (1–10)</t>
  </si>
  <si>
    <t>Average of Tokens/sec</t>
  </si>
  <si>
    <t>Average of Latency</t>
  </si>
  <si>
    <t>score rank</t>
  </si>
  <si>
    <t>token rank</t>
  </si>
  <si>
    <t>latency rank</t>
  </si>
  <si>
    <t>AVG_rnk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</si>
</sst>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rgb="FF273540"/>
      <name val="Arial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YR" refreshedDate="46106.116771759262" createdVersion="8" refreshedVersion="8" minRefreshableVersion="3" recordCount="375" xr:uid="{466B4197-0001-C049-9E42-D43683AFE627}">
  <cacheSource type="worksheet">
    <worksheetSource ref="B1:H376" sheet="Score"/>
  </cacheSource>
  <cacheFields count="7">
    <cacheField name="Model" numFmtId="0">
      <sharedItems count="15">
        <s v="Qwen/Qwen2.5-0.5B-Instruct"/>
        <s v="HuggingFaceTB/SmolLM2-360M-Instruct"/>
        <s v="EleutherAI/pythia-410m"/>
        <s v="TinyLlama/TinyLlama-1.1B-Chat-v1.0"/>
        <s v="stabilityai/stablelm-2-zephyr-1_6b"/>
        <s v="microsoft/phi-2"/>
        <s v="Qwen/Qwen2.5-3B-Instruct"/>
        <s v="microsoft/Phi-3-mini-4k-instruct"/>
        <s v="stabilityai/stablelm-zephyr-3b"/>
        <s v="HuggingFaceH4/zephyr-7b-beta"/>
        <s v="NousResearch/Nous-Hermes-2-Mistral-7B-DPO"/>
        <s v="tiiuae/falcon-7b-instruct"/>
        <s v="01-ai/Yi-1.5-9B-Chat"/>
        <s v="upstage/SOLAR-10.7B-Instruct-v1.0"/>
        <s v="lmsys/vicuna-7b-v1.5"/>
      </sharedItems>
    </cacheField>
    <cacheField name="Model Category" numFmtId="0">
      <sharedItems count="5">
        <s v="Ultra-Light Models "/>
        <s v="Small Models"/>
        <s v="Medium Models"/>
        <s v="Large Models"/>
        <s v="Extra-Large Models"/>
      </sharedItems>
    </cacheField>
    <cacheField name="Tokens/sec" numFmtId="0">
      <sharedItems containsSemiMixedTypes="0" containsString="0" containsNumber="1" containsInteger="1" minValue="27" maxValue="178"/>
    </cacheField>
    <cacheField name="Latency" numFmtId="0">
      <sharedItems containsSemiMixedTypes="0" containsString="0" containsNumber="1" minValue="0.03" maxValue="24.7"/>
    </cacheField>
    <cacheField name="Prompt Type" numFmtId="0">
      <sharedItems/>
    </cacheField>
    <cacheField name="Prompt" numFmtId="0">
      <sharedItems longText="1"/>
    </cacheField>
    <cacheField name="Self-Evaluation Score (1–10)" numFmtId="0">
      <sharedItems containsSemiMixedTypes="0" containsString="0" containsNumber="1" minValue="0" maxValue="4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">
  <r>
    <x v="0"/>
    <x v="0"/>
    <n v="133"/>
    <n v="2.0699999999999998"/>
    <s v="classification"/>
    <s v="Based on the selected user's UserProfile (height_cm, weight_kg, body_fat_pct, age, activity_level), classify their most suitable fitness goal. Possible labels: fat_loss, muscle_gain, maintain. Return only the label."/>
    <n v="3.1666666666666665"/>
  </r>
  <r>
    <x v="0"/>
    <x v="0"/>
    <n v="149"/>
    <n v="1.88"/>
    <s v="classification"/>
    <s v="Based on the selected user's UserProfile (weight_kg, height_cm, body_fat_pct, activity_level, goal), determine whether their stated goal is appropriate for their current physical condition. Possible labels: match, mismatch. Return only the label."/>
    <n v="3.6666666666666665"/>
  </r>
  <r>
    <x v="0"/>
    <x v="0"/>
    <n v="164"/>
    <n v="1.88"/>
    <s v="classification"/>
    <s v="Based on the selected user's MealLog records, classify their eating habit by examining which meal_type entries (breakfast, lunch, dinner) appear or are missing across dates. Possible labels: regular_three_meals, skip_breakfast, skip_lunch, skip_dinner, irregular_meals. Return only the label."/>
    <n v="3.5"/>
  </r>
  <r>
    <x v="0"/>
    <x v="0"/>
    <n v="93"/>
    <n v="1"/>
    <s v="classification"/>
    <s v="Based on the selected user's MealLog records, classify their food preference by examining the meal_name entries. Possible labels: asian_only, western_only, salad_heavy, mixed. Return only the label."/>
    <n v="3"/>
  </r>
  <r>
    <x v="0"/>
    <x v="0"/>
    <n v="147"/>
    <n v="1.88"/>
    <s v="classification"/>
    <s v="Based on the selected user's MealLog records, classify their app engagement level by counting meals logged per day and the number of distinct dates. Possible labels: low_engagement, moderate_engagement, high_engagement. Return only the label."/>
    <n v="3.1666666666666665"/>
  </r>
  <r>
    <x v="0"/>
    <x v="0"/>
    <n v="145"/>
    <n v="1.88"/>
    <s v="prediction"/>
    <s v="Based on the selected user's WeightLog history, BodyFatLog history, and UserProfile (goal, activity_level), predict their weight trend over the next 30 days. Return a short prediction with expected direction and estimated change."/>
    <n v="3.6666666666666665"/>
  </r>
  <r>
    <x v="0"/>
    <x v="0"/>
    <n v="154"/>
    <n v="1.88"/>
    <s v="prediction"/>
    <s v="Based on the selected user's MealLog (calories, protein_g, carbs_g, fat_g per meal) and UserProfile (goal, activity_level), predict whether their current intake pattern will support their goal over the next 30 days. Return a short prediction."/>
    <n v="2.6666666666666665"/>
  </r>
  <r>
    <x v="0"/>
    <x v="0"/>
    <n v="147"/>
    <n v="1.87"/>
    <s v="prediction"/>
    <s v="Based on the selected user's MealLog records, predict whether this user is likely to continue logging meals next week, based on the frequency and recency of their entries. Return: likely or unlikely, with a one-line reason."/>
    <n v="3.3333333333333335"/>
  </r>
  <r>
    <x v="0"/>
    <x v="0"/>
    <n v="150"/>
    <n v="1.88"/>
    <s v="prediction"/>
    <s v="Based on the selected user's WeightLog trend, BodyFatLog trend, and UserProfile (goal, activity_level), predict whether they are at risk of not achieving their fitness goal. Return: at_risk or on_track, with a one-line reason."/>
    <n v="3.6666666666666665"/>
  </r>
  <r>
    <x v="0"/>
    <x v="0"/>
    <n v="139"/>
    <n v="1.88"/>
    <s v="prediction"/>
    <s v="Based on the selected user's MealLog records, predict whether their eating habit is likely to change in the next month, based on patterns in meal_type and meal_name. Return a short prediction."/>
    <n v="3.6666666666666665"/>
  </r>
  <r>
    <x v="0"/>
    <x v="0"/>
    <n v="120"/>
    <n v="1.87"/>
    <s v="structured_extraction"/>
    <s v="From the selected user's UserNote, extract structured information about their eating preferences. Return as key-value pairs."/>
    <n v="2.6666666666666665"/>
  </r>
  <r>
    <x v="0"/>
    <x v="0"/>
    <n v="124"/>
    <n v="1.86"/>
    <s v="structured_extraction"/>
    <s v="From the selected user's UserNote, extract structured information about their activity level and exercise habits. Return as key-value pairs."/>
    <n v="4"/>
  </r>
  <r>
    <x v="0"/>
    <x v="0"/>
    <n v="129"/>
    <n v="1.87"/>
    <s v="structured_extraction"/>
    <s v="From the selected user's UserNote, extract structured information about their fitness goal, including target amount and timeline if mentioned. Return as key-value pairs."/>
    <n v="4"/>
  </r>
  <r>
    <x v="0"/>
    <x v="0"/>
    <n v="95"/>
    <n v="1.43"/>
    <s v="structured_extraction"/>
    <s v="From the selected user's UserNote, extract any dietary restrictions mentioned. Return as key-value pairs."/>
    <n v="1"/>
  </r>
  <r>
    <x v="0"/>
    <x v="0"/>
    <n v="126"/>
    <n v="1.86"/>
    <s v="structured_extraction"/>
    <s v="From the selected user's UserNote, extract body condition information that may affect their exercise or diet plan. Return as key-value pairs."/>
    <n v="2"/>
  </r>
  <r>
    <x v="0"/>
    <x v="0"/>
    <n v="130"/>
    <n v="1.87"/>
    <s v="summarization"/>
    <s v="Based on the selected user's MealLog records, summarize their overall eating behavior in one sentence, covering meal timing, calorie intake, and nutritional balance."/>
    <n v="4"/>
  </r>
  <r>
    <x v="0"/>
    <x v="0"/>
    <n v="143"/>
    <n v="1.88"/>
    <s v="summarization"/>
    <s v="Based on the selected user's UserProfile (weight_kg, height_cm, body_fat_pct, activity_level, goal), provide a one-line summary of whether their stated goal is realistic given their current body metrics."/>
    <n v="4"/>
  </r>
  <r>
    <x v="0"/>
    <x v="0"/>
    <n v="132"/>
    <n v="1.88"/>
    <s v="summarization"/>
    <s v="Based on the selected user's MealLog records, summarize their diet pattern in one sentence, focusing on meal frequency, meal types, and any noticeable nutritional trends."/>
    <n v="3.25"/>
  </r>
  <r>
    <x v="0"/>
    <x v="0"/>
    <n v="126"/>
    <n v="1.88"/>
    <s v="summarization"/>
    <s v="Based on the selected user's MealLog records and BodyFatLog history, summarize their level of progress and consistency in one sentence."/>
    <n v="3.75"/>
  </r>
  <r>
    <x v="0"/>
    <x v="0"/>
    <n v="135"/>
    <n v="1.88"/>
    <s v="summarization"/>
    <s v="Based on the selected user's WeightLog history, BodyFatLog history, and UserProfile (goal, activity_level), summarize their overall progress toward their fitness goal in one sentence."/>
    <n v="3"/>
  </r>
  <r>
    <x v="0"/>
    <x v="0"/>
    <n v="116"/>
    <n v="1.87"/>
    <s v="text_generation"/>
    <s v="Generate a personalised good morning greeting for a user who is on a fat loss goal."/>
    <n v="2"/>
  </r>
  <r>
    <x v="0"/>
    <x v="0"/>
    <n v="124"/>
    <n v="1.86"/>
    <s v="text_generation"/>
    <s v="Generate a short motivational message for a user who has been consistently logging meals but has not seen weight change in 2 weeks."/>
    <n v="3"/>
  </r>
  <r>
    <x v="0"/>
    <x v="0"/>
    <n v="115"/>
    <n v="1.86"/>
    <s v="text_generation"/>
    <s v="Generate one practical healthy eating tip suitable for a university student with a busy schedule."/>
    <n v="3"/>
  </r>
  <r>
    <x v="0"/>
    <x v="0"/>
    <n v="120"/>
    <n v="1.86"/>
    <s v="text_generation"/>
    <s v="Generate a short reminder message for a user who has not logged any meals in the past 3 days."/>
    <n v="2.75"/>
  </r>
  <r>
    <x v="0"/>
    <x v="0"/>
    <n v="114"/>
    <n v="1.85"/>
    <s v="text_generation"/>
    <s v="Generate one follow-up question to better understand why a user keeps skipping breakfast."/>
    <n v="2"/>
  </r>
  <r>
    <x v="1"/>
    <x v="0"/>
    <n v="154"/>
    <n v="2.33"/>
    <s v="classification"/>
    <s v="Based on the selected user's UserProfile (height_cm, weight_kg, body_fat_pct, age, activity_level), classify their most suitable fitness goal. Possible labels: fat_loss, muscle_gain, maintain. Return only the label."/>
    <n v="3.2"/>
  </r>
  <r>
    <x v="1"/>
    <x v="0"/>
    <n v="55"/>
    <n v="0.03"/>
    <s v="classification"/>
    <s v="Based on the selected user's UserProfile (weight_kg, height_cm, body_fat_pct, activity_level, goal), determine whether their stated goal is appropriate for their current physical condition. Possible labels: match, mismatch. Return only the label."/>
    <n v="0"/>
  </r>
  <r>
    <x v="1"/>
    <x v="0"/>
    <n v="77"/>
    <n v="0.19"/>
    <s v="classification"/>
    <s v="Based on the selected user's MealLog records, classify their eating habit by examining which meal_type entries (breakfast, lunch, dinner) appear or are missing across dates. Possible labels: regular_three_meals, skip_breakfast, skip_lunch, skip_dinner, irregular_meals. Return only the label."/>
    <n v="4.5"/>
  </r>
  <r>
    <x v="1"/>
    <x v="0"/>
    <n v="73"/>
    <n v="0.72"/>
    <s v="classification"/>
    <s v="Based on the selected user's MealLog records, classify their food preference by examining the meal_name entries. Possible labels: asian_only, western_only, salad_heavy, mixed. Return only the label."/>
    <n v="3.5"/>
  </r>
  <r>
    <x v="1"/>
    <x v="0"/>
    <n v="51"/>
    <n v="0.03"/>
    <s v="classification"/>
    <s v="Based on the selected user's MealLog records, classify their app engagement level by counting meals logged per day and the number of distinct dates. Possible labels: low_engagement, moderate_engagement, high_engagement. Return only the label."/>
    <n v="0"/>
  </r>
  <r>
    <x v="1"/>
    <x v="0"/>
    <n v="48"/>
    <n v="0.03"/>
    <s v="prediction"/>
    <s v="Based on the selected user's WeightLog history, BodyFatLog history, and UserProfile (goal, activity_level), predict their weight trend over the next 30 days. Return a short prediction with expected direction and estimated change."/>
    <n v="0"/>
  </r>
  <r>
    <x v="1"/>
    <x v="0"/>
    <n v="59"/>
    <n v="0.03"/>
    <s v="prediction"/>
    <s v="Based on the selected user's MealLog (calories, protein_g, carbs_g, fat_g per meal) and UserProfile (goal, activity_level), predict whether their current intake pattern will support their goal over the next 30 days. Return a short prediction."/>
    <n v="0"/>
  </r>
  <r>
    <x v="1"/>
    <x v="0"/>
    <n v="146"/>
    <n v="2.3199999999999998"/>
    <s v="prediction"/>
    <s v="Based on the selected user's MealLog records, predict whether this user is likely to continue logging meals next week, based on the frequency and recency of their entries. Return: likely or unlikely, with a one-line reason."/>
    <n v="3"/>
  </r>
  <r>
    <x v="1"/>
    <x v="0"/>
    <n v="83"/>
    <n v="0.7"/>
    <s v="prediction"/>
    <s v="Based on the selected user's WeightLog trend, BodyFatLog trend, and UserProfile (goal, activity_level), predict whether they are at risk of not achieving their fitness goal. Return: at_risk or on_track, with a one-line reason."/>
    <n v="3.25"/>
  </r>
  <r>
    <x v="1"/>
    <x v="0"/>
    <n v="41"/>
    <n v="0.03"/>
    <s v="prediction"/>
    <s v="Based on the selected user's MealLog records, predict whether their eating habit is likely to change in the next month, based on patterns in meal_type and meal_name. Return a short prediction."/>
    <n v="0"/>
  </r>
  <r>
    <x v="1"/>
    <x v="0"/>
    <n v="122"/>
    <n v="2.2999999999999998"/>
    <s v="structured_extraction"/>
    <s v="From the selected user's UserNote, extract structured information about their eating preferences. Return as key-value pairs."/>
    <n v="0"/>
  </r>
  <r>
    <x v="1"/>
    <x v="0"/>
    <n v="69"/>
    <n v="1.04"/>
    <s v="structured_extraction"/>
    <s v="From the selected user's UserNote, extract structured information about their activity level and exercise habits. Return as key-value pairs."/>
    <n v="0"/>
  </r>
  <r>
    <x v="1"/>
    <x v="0"/>
    <n v="80"/>
    <n v="1.18"/>
    <s v="structured_extraction"/>
    <s v="From the selected user's UserNote, extract structured information about their fitness goal, including target amount and timeline if mentioned. Return as key-value pairs."/>
    <n v="1.3333333333333333"/>
  </r>
  <r>
    <x v="1"/>
    <x v="0"/>
    <n v="120"/>
    <n v="2.2999999999999998"/>
    <s v="structured_extraction"/>
    <s v="From the selected user's UserNote, extract any dietary restrictions mentioned. Return as key-value pairs."/>
    <n v="0"/>
  </r>
  <r>
    <x v="1"/>
    <x v="0"/>
    <n v="108"/>
    <n v="1.89"/>
    <s v="structured_extraction"/>
    <s v="From the selected user's UserNote, extract body condition information that may affect their exercise or diet plan. Return as key-value pairs."/>
    <n v="0"/>
  </r>
  <r>
    <x v="1"/>
    <x v="0"/>
    <n v="129"/>
    <n v="2.3199999999999998"/>
    <s v="summarization"/>
    <s v="Based on the selected user's MealLog records, summarize their overall eating behavior in one sentence, covering meal timing, calorie intake, and nutritional balance."/>
    <n v="1.3333333333333333"/>
  </r>
  <r>
    <x v="1"/>
    <x v="0"/>
    <n v="49"/>
    <n v="0.03"/>
    <s v="summarization"/>
    <s v="Based on the selected user's UserProfile (weight_kg, height_cm, body_fat_pct, activity_level, goal), provide a one-line summary of whether their stated goal is realistic given their current body metrics."/>
    <n v="1.3333333333333333"/>
  </r>
  <r>
    <x v="1"/>
    <x v="0"/>
    <n v="131"/>
    <n v="2.3199999999999998"/>
    <s v="summarization"/>
    <s v="Based on the selected user's MealLog records, summarize their diet pattern in one sentence, focusing on meal frequency, meal types, and any noticeable nutritional trends."/>
    <n v="4"/>
  </r>
  <r>
    <x v="1"/>
    <x v="0"/>
    <n v="125"/>
    <n v="2.3199999999999998"/>
    <s v="summarization"/>
    <s v="Based on the selected user's MealLog records and BodyFatLog history, summarize their level of progress and consistency in one sentence."/>
    <n v="4"/>
  </r>
  <r>
    <x v="1"/>
    <x v="0"/>
    <n v="135"/>
    <n v="2.3199999999999998"/>
    <s v="summarization"/>
    <s v="Based on the selected user's WeightLog history, BodyFatLog history, and UserProfile (goal, activity_level), summarize their overall progress toward their fitness goal in one sentence."/>
    <n v="4"/>
  </r>
  <r>
    <x v="1"/>
    <x v="0"/>
    <n v="73"/>
    <n v="1.34"/>
    <s v="text_generation"/>
    <s v="Generate a personalised good morning greeting for a user who is on a fat loss goal."/>
    <n v="4"/>
  </r>
  <r>
    <x v="1"/>
    <x v="0"/>
    <n v="123"/>
    <n v="2.2999999999999998"/>
    <s v="text_generation"/>
    <s v="Generate a short motivational message for a user who has been consistently logging meals but has not seen weight change in 2 weeks."/>
    <n v="2"/>
  </r>
  <r>
    <x v="1"/>
    <x v="0"/>
    <n v="115"/>
    <n v="2.31"/>
    <s v="text_generation"/>
    <s v="Generate one practical healthy eating tip suitable for a university student with a busy schedule."/>
    <n v="2.3333333333333335"/>
  </r>
  <r>
    <x v="1"/>
    <x v="0"/>
    <n v="117"/>
    <n v="2.2999999999999998"/>
    <s v="text_generation"/>
    <s v="Generate a short reminder message for a user who has not logged any meals in the past 3 days."/>
    <n v="3"/>
  </r>
  <r>
    <x v="1"/>
    <x v="0"/>
    <n v="31"/>
    <n v="0.39"/>
    <s v="text_generation"/>
    <s v="Generate one follow-up question to better understand why a user keeps skipping breakfast."/>
    <n v="4"/>
  </r>
  <r>
    <x v="2"/>
    <x v="0"/>
    <n v="153"/>
    <n v="1.07"/>
    <s v="classification"/>
    <s v="Based on the selected user's UserProfile (height_cm, weight_kg, body_fat_pct, age, activity_level), classify their most suitable fitness goal. Possible labels: fat_loss, muscle_gain, maintain. Return only the label."/>
    <n v="0"/>
  </r>
  <r>
    <x v="2"/>
    <x v="0"/>
    <n v="153"/>
    <n v="0.96"/>
    <s v="classification"/>
    <s v="Based on the selected user's UserProfile (weight_kg, height_cm, body_fat_pct, activity_level, goal), determine whether their stated goal is appropriate for their current physical condition. Possible labels: match, mismatch. Return only the label."/>
    <n v="0"/>
  </r>
  <r>
    <x v="2"/>
    <x v="0"/>
    <n v="168"/>
    <n v="0.96"/>
    <s v="classification"/>
    <s v="Based on the selected user's MealLog records, classify their eating habit by examining which meal_type entries (breakfast, lunch, dinner) appear or are missing across dates. Possible labels: regular_three_meals, skip_breakfast, skip_lunch, skip_dinner, irregular_meals. Return only the label."/>
    <n v="0"/>
  </r>
  <r>
    <x v="2"/>
    <x v="0"/>
    <n v="144"/>
    <n v="0.96"/>
    <s v="classification"/>
    <s v="Based on the selected user's MealLog records, classify their food preference by examining the meal_name entries. Possible labels: asian_only, western_only, salad_heavy, mixed. Return only the label."/>
    <n v="0"/>
  </r>
  <r>
    <x v="2"/>
    <x v="0"/>
    <n v="150"/>
    <n v="0.96"/>
    <s v="classification"/>
    <s v="Based on the selected user's MealLog records, classify their app engagement level by counting meals logged per day and the number of distinct dates. Possible labels: low_engagement, moderate_engagement, high_engagement. Return only the label."/>
    <n v="0"/>
  </r>
  <r>
    <x v="2"/>
    <x v="0"/>
    <n v="144"/>
    <n v="0.96"/>
    <s v="prediction"/>
    <s v="Based on the selected user's WeightLog history, BodyFatLog history, and UserProfile (goal, activity_level), predict their weight trend over the next 30 days. Return a short prediction with expected direction and estimated change."/>
    <n v="0"/>
  </r>
  <r>
    <x v="2"/>
    <x v="0"/>
    <n v="157"/>
    <n v="0.96"/>
    <s v="prediction"/>
    <s v="Based on the selected user's MealLog (calories, protein_g, carbs_g, fat_g per meal) and UserProfile (goal, activity_level), predict whether their current intake pattern will support their goal over the next 30 days. Return a short prediction."/>
    <n v="4"/>
  </r>
  <r>
    <x v="2"/>
    <x v="0"/>
    <n v="146"/>
    <n v="0.96"/>
    <s v="prediction"/>
    <s v="Based on the selected user's MealLog records, predict whether this user is likely to continue logging meals next week, based on the frequency and recency of their entries. Return: likely or unlikely, with a one-line reason."/>
    <n v="3.25"/>
  </r>
  <r>
    <x v="2"/>
    <x v="0"/>
    <n v="153"/>
    <n v="0.96"/>
    <s v="prediction"/>
    <s v="Based on the selected user's WeightLog trend, BodyFatLog trend, and UserProfile (goal, activity_level), predict whether they are at risk of not achieving their fitness goal. Return: at_risk or on_track, with a one-line reason."/>
    <n v="0"/>
  </r>
  <r>
    <x v="2"/>
    <x v="0"/>
    <n v="140"/>
    <n v="0.96"/>
    <s v="prediction"/>
    <s v="Based on the selected user's MealLog records, predict whether their eating habit is likely to change in the next month, based on patterns in meal_type and meal_name. Return a short prediction."/>
    <n v="0"/>
  </r>
  <r>
    <x v="2"/>
    <x v="0"/>
    <n v="121"/>
    <n v="0.95"/>
    <s v="structured_extraction"/>
    <s v="From the selected user's UserNote, extract structured information about their eating preferences. Return as key-value pairs."/>
    <n v="2.6666666666666665"/>
  </r>
  <r>
    <x v="2"/>
    <x v="0"/>
    <n v="124"/>
    <n v="0.95"/>
    <s v="structured_extraction"/>
    <s v="From the selected user's UserNote, extract structured information about their activity level and exercise habits. Return as key-value pairs."/>
    <n v="0"/>
  </r>
  <r>
    <x v="2"/>
    <x v="0"/>
    <n v="129"/>
    <n v="0.95"/>
    <s v="structured_extraction"/>
    <s v="From the selected user's UserNote, extract structured information about their fitness goal, including target amount and timeline if mentioned. Return as key-value pairs."/>
    <n v="0"/>
  </r>
  <r>
    <x v="2"/>
    <x v="0"/>
    <n v="119"/>
    <n v="0.95"/>
    <s v="structured_extraction"/>
    <s v="From the selected user's UserNote, extract any dietary restrictions mentioned. Return as key-value pairs."/>
    <n v="0"/>
  </r>
  <r>
    <x v="2"/>
    <x v="0"/>
    <n v="126"/>
    <n v="0.95"/>
    <s v="structured_extraction"/>
    <s v="From the selected user's UserNote, extract body condition information that may affect their exercise or diet plan. Return as key-value pairs."/>
    <n v="1.3333333333333333"/>
  </r>
  <r>
    <x v="2"/>
    <x v="0"/>
    <n v="129"/>
    <n v="0.96"/>
    <s v="summarization"/>
    <s v="Based on the selected user's MealLog records, summarize their overall eating behavior in one sentence, covering meal timing, calorie intake, and nutritional balance."/>
    <n v="0"/>
  </r>
  <r>
    <x v="2"/>
    <x v="0"/>
    <n v="145"/>
    <n v="0.96"/>
    <s v="summarization"/>
    <s v="Based on the selected user's UserProfile (weight_kg, height_cm, body_fat_pct, activity_level, goal), provide a one-line summary of whether their stated goal is realistic given their current body metrics."/>
    <n v="0"/>
  </r>
  <r>
    <x v="2"/>
    <x v="0"/>
    <n v="131"/>
    <n v="0.96"/>
    <s v="summarization"/>
    <s v="Based on the selected user's MealLog records, summarize their diet pattern in one sentence, focusing on meal frequency, meal types, and any noticeable nutritional trends."/>
    <n v="2.25"/>
  </r>
  <r>
    <x v="2"/>
    <x v="0"/>
    <n v="125"/>
    <n v="0.96"/>
    <s v="summarization"/>
    <s v="Based on the selected user's MealLog records and BodyFatLog history, summarize their level of progress and consistency in one sentence."/>
    <n v="0.25"/>
  </r>
  <r>
    <x v="2"/>
    <x v="0"/>
    <n v="135"/>
    <n v="0.96"/>
    <s v="summarization"/>
    <s v="Based on the selected user's WeightLog history, BodyFatLog history, and UserProfile (goal, activity_level), summarize their overall progress toward their fitness goal in one sentence."/>
    <n v="0.5"/>
  </r>
  <r>
    <x v="2"/>
    <x v="0"/>
    <n v="116"/>
    <n v="0.95"/>
    <s v="text_generation"/>
    <s v="Generate a personalised good morning greeting for a user who is on a fat loss goal."/>
    <n v="0"/>
  </r>
  <r>
    <x v="2"/>
    <x v="0"/>
    <n v="122"/>
    <n v="0.95"/>
    <s v="text_generation"/>
    <s v="Generate a short motivational message for a user who has been consistently logging meals but has not seen weight change in 2 weeks."/>
    <n v="0.5"/>
  </r>
  <r>
    <x v="2"/>
    <x v="0"/>
    <n v="114"/>
    <n v="0.95"/>
    <s v="text_generation"/>
    <s v="Generate one practical healthy eating tip suitable for a university student with a busy schedule."/>
    <n v="0"/>
  </r>
  <r>
    <x v="2"/>
    <x v="0"/>
    <n v="118"/>
    <n v="0.95"/>
    <s v="text_generation"/>
    <s v="Generate a short reminder message for a user who has not logged any meals in the past 3 days."/>
    <n v="2"/>
  </r>
  <r>
    <x v="2"/>
    <x v="0"/>
    <n v="114"/>
    <n v="0.95"/>
    <s v="text_generation"/>
    <s v="Generate one follow-up question to better understand why a user keeps skipping breakfast."/>
    <n v="0"/>
  </r>
  <r>
    <x v="3"/>
    <x v="1"/>
    <n v="68"/>
    <n v="0.1"/>
    <s v="classification"/>
    <s v="Based on the selected user's UserProfile (height_cm, weight_kg, body_fat_pct, age, activity_level), classify their most suitable fitness goal. Possible labels: fat_loss, muscle_gain, maintain. Return only the label."/>
    <n v="3.75"/>
  </r>
  <r>
    <x v="3"/>
    <x v="1"/>
    <n v="101"/>
    <n v="0.51"/>
    <s v="classification"/>
    <s v="Based on the selected user's UserProfile (weight_kg, height_cm, body_fat_pct, activity_level, goal), determine whether their stated goal is appropriate for their current physical condition. Possible labels: match, mismatch. Return only the label."/>
    <n v="3.3333333333333335"/>
  </r>
  <r>
    <x v="3"/>
    <x v="1"/>
    <n v="118"/>
    <n v="0.47"/>
    <s v="classification"/>
    <s v="Based on the selected user's MealLog records, classify their eating habit by examining which meal_type entries (breakfast, lunch, dinner) appear or are missing across dates. Possible labels: regular_three_meals, skip_breakfast, skip_lunch, skip_dinner, irregular_meals. Return only the label."/>
    <n v="0.25"/>
  </r>
  <r>
    <x v="3"/>
    <x v="1"/>
    <n v="153"/>
    <n v="1.1299999999999999"/>
    <s v="classification"/>
    <s v="Based on the selected user's MealLog records, classify their food preference by examining the meal_name entries. Possible labels: asian_only, western_only, salad_heavy, mixed. Return only the label."/>
    <n v="2.1666666666666665"/>
  </r>
  <r>
    <x v="3"/>
    <x v="1"/>
    <n v="131"/>
    <n v="0.84"/>
    <s v="classification"/>
    <s v="Based on the selected user's MealLog records, classify their app engagement level by counting meals logged per day and the number of distinct dates. Possible labels: low_engagement, moderate_engagement, high_engagement. Return only the label."/>
    <n v="3"/>
  </r>
  <r>
    <x v="3"/>
    <x v="1"/>
    <n v="133"/>
    <n v="0.93"/>
    <s v="prediction"/>
    <s v="Based on the selected user's WeightLog history, BodyFatLog history, and UserProfile (goal, activity_level), predict their weight trend over the next 30 days. Return a short prediction with expected direction and estimated change."/>
    <n v="3"/>
  </r>
  <r>
    <x v="3"/>
    <x v="1"/>
    <n v="142"/>
    <n v="0.88"/>
    <s v="prediction"/>
    <s v="Based on the selected user's MealLog (calories, protein_g, carbs_g, fat_g per meal) and UserProfile (goal, activity_level), predict whether their current intake pattern will support their goal over the next 30 days. Return a short prediction."/>
    <n v="2.8333333333333335"/>
  </r>
  <r>
    <x v="3"/>
    <x v="1"/>
    <n v="74"/>
    <n v="0.28000000000000003"/>
    <s v="prediction"/>
    <s v="Based on the selected user's MealLog records, predict whether this user is likely to continue logging meals next week, based on the frequency and recency of their entries. Return: likely or unlikely, with a one-line reason."/>
    <n v="3.3333333333333335"/>
  </r>
  <r>
    <x v="3"/>
    <x v="1"/>
    <n v="102"/>
    <n v="0.45"/>
    <s v="prediction"/>
    <s v="Based on the selected user's WeightLog trend, BodyFatLog trend, and UserProfile (goal, activity_level), predict whether they are at risk of not achieving their fitness goal. Return: at_risk or on_track, with a one-line reason."/>
    <n v="3.5"/>
  </r>
  <r>
    <x v="3"/>
    <x v="1"/>
    <n v="125"/>
    <n v="0.9"/>
    <s v="prediction"/>
    <s v="Based on the selected user's MealLog records, predict whether their eating habit is likely to change in the next month, based on patterns in meal_type and meal_name. Return a short prediction."/>
    <n v="3.6666666666666665"/>
  </r>
  <r>
    <x v="3"/>
    <x v="1"/>
    <n v="105"/>
    <n v="0.87"/>
    <s v="structured_extraction"/>
    <s v="From the selected user's UserNote, extract structured information about their eating preferences. Return as key-value pairs."/>
    <n v="2.3333333333333335"/>
  </r>
  <r>
    <x v="3"/>
    <x v="1"/>
    <n v="130"/>
    <n v="1.1000000000000001"/>
    <s v="structured_extraction"/>
    <s v="From the selected user's UserNote, extract structured information about their activity level and exercise habits. Return as key-value pairs."/>
    <n v="0"/>
  </r>
  <r>
    <x v="3"/>
    <x v="1"/>
    <n v="136"/>
    <n v="1.1000000000000001"/>
    <s v="structured_extraction"/>
    <s v="From the selected user's UserNote, extract structured information about their fitness goal, including target amount and timeline if mentioned. Return as key-value pairs."/>
    <n v="1"/>
  </r>
  <r>
    <x v="3"/>
    <x v="1"/>
    <n v="86"/>
    <n v="0.68"/>
    <s v="structured_extraction"/>
    <s v="From the selected user's UserNote, extract any dietary restrictions mentioned. Return as key-value pairs."/>
    <n v="0"/>
  </r>
  <r>
    <x v="3"/>
    <x v="1"/>
    <n v="76"/>
    <n v="0.51"/>
    <s v="structured_extraction"/>
    <s v="From the selected user's UserNote, extract body condition information that may affect their exercise or diet plan. Return as key-value pairs."/>
    <n v="1.3333333333333333"/>
  </r>
  <r>
    <x v="3"/>
    <x v="1"/>
    <n v="140"/>
    <n v="1.1299999999999999"/>
    <s v="summarization"/>
    <s v="Based on the selected user's MealLog records, summarize their overall eating behavior in one sentence, covering meal timing, calorie intake, and nutritional balance."/>
    <n v="4"/>
  </r>
  <r>
    <x v="3"/>
    <x v="1"/>
    <n v="142"/>
    <n v="1.03"/>
    <s v="summarization"/>
    <s v="Based on the selected user's UserProfile (weight_kg, height_cm, body_fat_pct, activity_level, goal), provide a one-line summary of whether their stated goal is realistic given their current body metrics."/>
    <n v="4"/>
  </r>
  <r>
    <x v="3"/>
    <x v="1"/>
    <n v="105"/>
    <n v="0.71"/>
    <s v="summarization"/>
    <s v="Based on the selected user's MealLog records, summarize their diet pattern in one sentence, focusing on meal frequency, meal types, and any noticeable nutritional trends."/>
    <n v="3.25"/>
  </r>
  <r>
    <x v="3"/>
    <x v="1"/>
    <n v="83"/>
    <n v="0.61"/>
    <s v="summarization"/>
    <s v="Based on the selected user's MealLog records and BodyFatLog history, summarize their level of progress and consistency in one sentence."/>
    <n v="2.5"/>
  </r>
  <r>
    <x v="3"/>
    <x v="1"/>
    <n v="102"/>
    <n v="0.69"/>
    <s v="summarization"/>
    <s v="Based on the selected user's WeightLog history, BodyFatLog history, and UserProfile (goal, activity_level), summarize their overall progress toward their fitness goal in one sentence."/>
    <n v="2.25"/>
  </r>
  <r>
    <x v="3"/>
    <x v="1"/>
    <n v="121"/>
    <n v="1.1000000000000001"/>
    <s v="text_generation"/>
    <s v="Generate a personalised good morning greeting for a user who is on a fat loss goal."/>
    <n v="2.75"/>
  </r>
  <r>
    <x v="3"/>
    <x v="1"/>
    <n v="130"/>
    <n v="1.1000000000000001"/>
    <s v="text_generation"/>
    <s v="Generate a short motivational message for a user who has been consistently logging meals but has not seen weight change in 2 weeks."/>
    <n v="2.75"/>
  </r>
  <r>
    <x v="3"/>
    <x v="1"/>
    <n v="121"/>
    <n v="1.1000000000000001"/>
    <s v="text_generation"/>
    <s v="Generate one practical healthy eating tip suitable for a university student with a busy schedule."/>
    <n v="2.5"/>
  </r>
  <r>
    <x v="3"/>
    <x v="1"/>
    <n v="125"/>
    <n v="1.1000000000000001"/>
    <s v="text_generation"/>
    <s v="Generate a short reminder message for a user who has not logged any meals in the past 3 days."/>
    <n v="2"/>
  </r>
  <r>
    <x v="3"/>
    <x v="1"/>
    <n v="71"/>
    <n v="0.59"/>
    <s v="text_generation"/>
    <s v="Generate one follow-up question to better understand why a user keeps skipping breakfast."/>
    <n v="3"/>
  </r>
  <r>
    <x v="4"/>
    <x v="1"/>
    <n v="50"/>
    <n v="0.04"/>
    <s v="classification"/>
    <s v="Based on the selected user's UserProfile (height_cm, weight_kg, body_fat_pct, age, activity_level), classify their most suitable fitness goal. Possible labels: fat_loss, muscle_gain, maintain. Return only the label."/>
    <n v="3.75"/>
  </r>
  <r>
    <x v="4"/>
    <x v="1"/>
    <n v="151"/>
    <n v="1.06"/>
    <s v="classification"/>
    <s v="Based on the selected user's UserProfile (weight_kg, height_cm, body_fat_pct, activity_level, goal), determine whether their stated goal is appropriate for their current physical condition. Possible labels: match, mismatch. Return only the label."/>
    <n v="3"/>
  </r>
  <r>
    <x v="4"/>
    <x v="1"/>
    <n v="138"/>
    <n v="0.82"/>
    <s v="classification"/>
    <s v="Based on the selected user's MealLog records, classify their eating habit by examining which meal_type entries (breakfast, lunch, dinner) appear or are missing across dates. Possible labels: regular_three_meals, skip_breakfast, skip_lunch, skip_dinner, irregular_meals. Return only the label."/>
    <n v="2.3333333333333335"/>
  </r>
  <r>
    <x v="4"/>
    <x v="1"/>
    <n v="89"/>
    <n v="0.55000000000000004"/>
    <s v="classification"/>
    <s v="Based on the selected user's MealLog records, classify their food preference by examining the meal_name entries. Possible labels: asian_only, western_only, salad_heavy, mixed. Return only the label."/>
    <n v="3.1666666666666665"/>
  </r>
  <r>
    <x v="4"/>
    <x v="1"/>
    <n v="51"/>
    <n v="7.0000000000000007E-2"/>
    <s v="classification"/>
    <s v="Based on the selected user's MealLog records, classify their app engagement level by counting meals logged per day and the number of distinct dates. Possible labels: low_engagement, moderate_engagement, high_engagement. Return only the label."/>
    <n v="4.75"/>
  </r>
  <r>
    <x v="4"/>
    <x v="1"/>
    <n v="100"/>
    <n v="0.59"/>
    <s v="prediction"/>
    <s v="Based on the selected user's WeightLog history, BodyFatLog history, and UserProfile (goal, activity_level), predict their weight trend over the next 30 days. Return a short prediction with expected direction and estimated change."/>
    <n v="4"/>
  </r>
  <r>
    <x v="4"/>
    <x v="1"/>
    <n v="108"/>
    <n v="0.57999999999999996"/>
    <s v="prediction"/>
    <s v="Based on the selected user's MealLog (calories, protein_g, carbs_g, fat_g per meal) and UserProfile (goal, activity_level), predict whether their current intake pattern will support their goal over the next 30 days. Return a short prediction."/>
    <n v="2.3333333333333335"/>
  </r>
  <r>
    <x v="4"/>
    <x v="1"/>
    <n v="126"/>
    <n v="0.85"/>
    <s v="prediction"/>
    <s v="Based on the selected user's MealLog records, predict whether this user is likely to continue logging meals next week, based on the frequency and recency of their entries. Return: likely or unlikely, with a one-line reason."/>
    <n v="3.5"/>
  </r>
  <r>
    <x v="4"/>
    <x v="1"/>
    <n v="151"/>
    <n v="1.06"/>
    <s v="prediction"/>
    <s v="Based on the selected user's WeightLog trend, BodyFatLog trend, and UserProfile (goal, activity_level), predict whether they are at risk of not achieving their fitness goal. Return: at_risk or on_track, with a one-line reason."/>
    <n v="3.6666666666666665"/>
  </r>
  <r>
    <x v="4"/>
    <x v="1"/>
    <n v="86"/>
    <n v="0.51"/>
    <s v="prediction"/>
    <s v="Based on the selected user's MealLog records, predict whether their eating habit is likely to change in the next month, based on patterns in meal_type and meal_name. Return a short prediction."/>
    <n v="3.6666666666666665"/>
  </r>
  <r>
    <x v="4"/>
    <x v="1"/>
    <n v="52"/>
    <n v="0.33"/>
    <s v="structured_extraction"/>
    <s v="From the selected user's UserNote, extract structured information about their eating preferences. Return as key-value pairs."/>
    <n v="3.6666666666666665"/>
  </r>
  <r>
    <x v="4"/>
    <x v="1"/>
    <n v="73"/>
    <n v="0.52"/>
    <s v="structured_extraction"/>
    <s v="From the selected user's UserNote, extract structured information about their activity level and exercise habits. Return as key-value pairs."/>
    <n v="3"/>
  </r>
  <r>
    <x v="4"/>
    <x v="1"/>
    <n v="129"/>
    <n v="1.03"/>
    <s v="structured_extraction"/>
    <s v="From the selected user's UserNote, extract structured information about their fitness goal, including target amount and timeline if mentioned. Return as key-value pairs."/>
    <n v="2.3333333333333335"/>
  </r>
  <r>
    <x v="4"/>
    <x v="1"/>
    <n v="54"/>
    <n v="0.37"/>
    <s v="structured_extraction"/>
    <s v="From the selected user's UserNote, extract any dietary restrictions mentioned. Return as key-value pairs."/>
    <n v="1"/>
  </r>
  <r>
    <x v="4"/>
    <x v="1"/>
    <n v="120"/>
    <n v="0.98"/>
    <s v="structured_extraction"/>
    <s v="From the selected user's UserNote, extract body condition information that may affect their exercise or diet plan. Return as key-value pairs."/>
    <n v="3"/>
  </r>
  <r>
    <x v="4"/>
    <x v="1"/>
    <n v="94"/>
    <n v="0.69"/>
    <s v="summarization"/>
    <s v="Based on the selected user's MealLog records, summarize their overall eating behavior in one sentence, covering meal timing, calorie intake, and nutritional balance."/>
    <n v="4"/>
  </r>
  <r>
    <x v="4"/>
    <x v="1"/>
    <n v="84"/>
    <n v="0.45"/>
    <s v="summarization"/>
    <s v="Based on the selected user's UserProfile (weight_kg, height_cm, body_fat_pct, activity_level, goal), provide a one-line summary of whether their stated goal is realistic given their current body metrics."/>
    <n v="4"/>
  </r>
  <r>
    <x v="4"/>
    <x v="1"/>
    <n v="85"/>
    <n v="0.57999999999999996"/>
    <s v="summarization"/>
    <s v="Based on the selected user's MealLog records, summarize their diet pattern in one sentence, focusing on meal frequency, meal types, and any noticeable nutritional trends."/>
    <n v="3.25"/>
  </r>
  <r>
    <x v="4"/>
    <x v="1"/>
    <n v="52"/>
    <n v="0.3"/>
    <s v="summarization"/>
    <s v="Based on the selected user's MealLog records and BodyFatLog history, summarize their level of progress and consistency in one sentence."/>
    <n v="3"/>
  </r>
  <r>
    <x v="4"/>
    <x v="1"/>
    <n v="66"/>
    <n v="0.35"/>
    <s v="summarization"/>
    <s v="Based on the selected user's WeightLog history, BodyFatLog history, and UserProfile (goal, activity_level), summarize their overall progress toward their fitness goal in one sentence."/>
    <n v="3"/>
  </r>
  <r>
    <x v="4"/>
    <x v="1"/>
    <n v="94"/>
    <n v="0.82"/>
    <s v="text_generation"/>
    <s v="Generate a personalised good morning greeting for a user who is on a fat loss goal."/>
    <n v="3.25"/>
  </r>
  <r>
    <x v="4"/>
    <x v="1"/>
    <n v="124"/>
    <n v="1.03"/>
    <s v="text_generation"/>
    <s v="Generate a short motivational message for a user who has been consistently logging meals but has not seen weight change in 2 weeks."/>
    <n v="2.75"/>
  </r>
  <r>
    <x v="4"/>
    <x v="1"/>
    <n v="115"/>
    <n v="1.03"/>
    <s v="text_generation"/>
    <s v="Generate one practical healthy eating tip suitable for a university student with a busy schedule."/>
    <n v="3.75"/>
  </r>
  <r>
    <x v="4"/>
    <x v="1"/>
    <n v="70"/>
    <n v="0.52"/>
    <s v="text_generation"/>
    <s v="Generate a short reminder message for a user who has not logged any meals in the past 3 days."/>
    <n v="4"/>
  </r>
  <r>
    <x v="4"/>
    <x v="1"/>
    <n v="82"/>
    <n v="0.7"/>
    <s v="text_generation"/>
    <s v="Generate one follow-up question to better understand why a user keeps skipping breakfast."/>
    <n v="3.25"/>
  </r>
  <r>
    <x v="5"/>
    <x v="1"/>
    <n v="155"/>
    <n v="1.69"/>
    <s v="classification"/>
    <s v="Based on the selected user's UserProfile (height_cm, weight_kg, body_fat_pct, age, activity_level), classify their most suitable fitness goal. Possible labels: fat_loss, muscle_gain, maintain. Return only the label."/>
    <n v="2.25"/>
  </r>
  <r>
    <x v="5"/>
    <x v="1"/>
    <n v="155"/>
    <n v="1.59"/>
    <s v="classification"/>
    <s v="Based on the selected user's UserProfile (weight_kg, height_cm, body_fat_pct, activity_level, goal), determine whether their stated goal is appropriate for their current physical condition. Possible labels: match, mismatch. Return only the label."/>
    <n v="3.3333333333333335"/>
  </r>
  <r>
    <x v="5"/>
    <x v="1"/>
    <n v="169"/>
    <n v="1.57"/>
    <s v="classification"/>
    <s v="Based on the selected user's MealLog records, classify their eating habit by examining which meal_type entries (breakfast, lunch, dinner) appear or are missing across dates. Possible labels: regular_three_meals, skip_breakfast, skip_lunch, skip_dinner, irregular_meals. Return only the label."/>
    <n v="3.5"/>
  </r>
  <r>
    <x v="5"/>
    <x v="1"/>
    <n v="146"/>
    <n v="1.57"/>
    <s v="classification"/>
    <s v="Based on the selected user's MealLog records, classify their food preference by examining the meal_name entries. Possible labels: asian_only, western_only, salad_heavy, mixed. Return only the label."/>
    <n v="3.5"/>
  </r>
  <r>
    <x v="5"/>
    <x v="1"/>
    <n v="149"/>
    <n v="1.56"/>
    <s v="classification"/>
    <s v="Based on the selected user's MealLog records, classify their app engagement level by counting meals logged per day and the number of distinct dates. Possible labels: low_engagement, moderate_engagement, high_engagement. Return only the label."/>
    <n v="3.5"/>
  </r>
  <r>
    <x v="5"/>
    <x v="1"/>
    <n v="114"/>
    <n v="1.1299999999999999"/>
    <s v="prediction"/>
    <s v="Based on the selected user's WeightLog history, BodyFatLog history, and UserProfile (goal, activity_level), predict their weight trend over the next 30 days. Return a short prediction with expected direction and estimated change."/>
    <n v="3.1666666666666665"/>
  </r>
  <r>
    <x v="5"/>
    <x v="1"/>
    <n v="157"/>
    <n v="1.57"/>
    <s v="prediction"/>
    <s v="Based on the selected user's MealLog (calories, protein_g, carbs_g, fat_g per meal) and UserProfile (goal, activity_level), predict whether their current intake pattern will support their goal over the next 30 days. Return a short prediction."/>
    <n v="2.3333333333333335"/>
  </r>
  <r>
    <x v="5"/>
    <x v="1"/>
    <n v="148"/>
    <n v="1.57"/>
    <s v="prediction"/>
    <s v="Based on the selected user's MealLog records, predict whether this user is likely to continue logging meals next week, based on the frequency and recency of their entries. Return: likely or unlikely, with a one-line reason."/>
    <n v="3.1666666666666665"/>
  </r>
  <r>
    <x v="5"/>
    <x v="1"/>
    <n v="153"/>
    <n v="1.59"/>
    <s v="prediction"/>
    <s v="Based on the selected user's WeightLog trend, BodyFatLog trend, and UserProfile (goal, activity_level), predict whether they are at risk of not achieving their fitness goal. Return: at_risk or on_track, with a one-line reason."/>
    <n v="3"/>
  </r>
  <r>
    <x v="5"/>
    <x v="1"/>
    <n v="120"/>
    <n v="1.28"/>
    <s v="prediction"/>
    <s v="Based on the selected user's MealLog records, predict whether their eating habit is likely to change in the next month, based on patterns in meal_type and meal_name. Return a short prediction."/>
    <n v="3.6666666666666665"/>
  </r>
  <r>
    <x v="5"/>
    <x v="1"/>
    <n v="101"/>
    <n v="1.42"/>
    <s v="structured_extraction"/>
    <s v="From the selected user's UserNote, extract structured information about their eating preferences. Return as key-value pairs."/>
    <n v="1.6"/>
  </r>
  <r>
    <x v="5"/>
    <x v="1"/>
    <n v="121"/>
    <n v="1.54"/>
    <s v="structured_extraction"/>
    <s v="From the selected user's UserNote, extract structured information about their activity level and exercise habits. Return as key-value pairs."/>
    <n v="2"/>
  </r>
  <r>
    <x v="5"/>
    <x v="1"/>
    <n v="118"/>
    <n v="1.52"/>
    <s v="structured_extraction"/>
    <s v="From the selected user's UserNote, extract structured information about their fitness goal, including target amount and timeline if mentioned. Return as key-value pairs."/>
    <n v="0.66666666666666663"/>
  </r>
  <r>
    <x v="5"/>
    <x v="1"/>
    <n v="115"/>
    <n v="1.54"/>
    <s v="structured_extraction"/>
    <s v="From the selected user's UserNote, extract any dietary restrictions mentioned. Return as key-value pairs."/>
    <n v="1"/>
  </r>
  <r>
    <x v="5"/>
    <x v="1"/>
    <n v="95"/>
    <n v="1.07"/>
    <s v="structured_extraction"/>
    <s v="From the selected user's UserNote, extract body condition information that may affect their exercise or diet plan. Return as key-value pairs."/>
    <n v="2"/>
  </r>
  <r>
    <x v="5"/>
    <x v="1"/>
    <n v="109"/>
    <n v="1.28"/>
    <s v="summarization"/>
    <s v="Based on the selected user's MealLog records, summarize their overall eating behavior in one sentence, covering meal timing, calorie intake, and nutritional balance."/>
    <n v="2.5"/>
  </r>
  <r>
    <x v="5"/>
    <x v="1"/>
    <n v="149"/>
    <n v="1.57"/>
    <s v="summarization"/>
    <s v="Based on the selected user's UserProfile (weight_kg, height_cm, body_fat_pct, activity_level, goal), provide a one-line summary of whether their stated goal is realistic given their current body metrics."/>
    <n v="3.5"/>
  </r>
  <r>
    <x v="5"/>
    <x v="1"/>
    <n v="116"/>
    <n v="1.36"/>
    <s v="summarization"/>
    <s v="Based on the selected user's MealLog records, summarize their diet pattern in one sentence, focusing on meal frequency, meal types, and any noticeable nutritional trends."/>
    <n v="3.25"/>
  </r>
  <r>
    <x v="5"/>
    <x v="1"/>
    <n v="126"/>
    <n v="1.57"/>
    <s v="summarization"/>
    <s v="Based on the selected user's MealLog records and BodyFatLog history, summarize their level of progress and consistency in one sentence."/>
    <n v="2.75"/>
  </r>
  <r>
    <x v="5"/>
    <x v="1"/>
    <n v="137"/>
    <n v="1.57"/>
    <s v="summarization"/>
    <s v="Based on the selected user's WeightLog history, BodyFatLog history, and UserProfile (goal, activity_level), summarize their overall progress toward their fitness goal in one sentence."/>
    <n v="2.75"/>
  </r>
  <r>
    <x v="5"/>
    <x v="1"/>
    <n v="119"/>
    <n v="1.53"/>
    <s v="text_generation"/>
    <s v="Generate a personalised good morning greeting for a user who is on a fat loss goal."/>
    <n v="2.25"/>
  </r>
  <r>
    <x v="5"/>
    <x v="1"/>
    <n v="124"/>
    <n v="1.53"/>
    <s v="text_generation"/>
    <s v="Generate a short motivational message for a user who has been consistently logging meals but has not seen weight change in 2 weeks."/>
    <n v="2.25"/>
  </r>
  <r>
    <x v="5"/>
    <x v="1"/>
    <n v="43"/>
    <n v="0.41"/>
    <s v="text_generation"/>
    <s v="Generate one practical healthy eating tip suitable for a university student with a busy schedule."/>
    <n v="3"/>
  </r>
  <r>
    <x v="5"/>
    <x v="1"/>
    <n v="53"/>
    <n v="0.54"/>
    <s v="text_generation"/>
    <s v="Generate a short reminder message for a user who has not logged any meals in the past 3 days."/>
    <n v="4"/>
  </r>
  <r>
    <x v="5"/>
    <x v="1"/>
    <n v="115"/>
    <n v="1.53"/>
    <s v="text_generation"/>
    <s v="Generate one follow-up question to better understand why a user keeps skipping breakfast."/>
    <n v="2"/>
  </r>
  <r>
    <x v="6"/>
    <x v="2"/>
    <n v="148"/>
    <n v="2.0499999999999998"/>
    <s v="classification"/>
    <s v="Based on the selected user's UserProfile (height_cm, weight_kg, body_fat_pct, age, activity_level), classify their most suitable fitness goal. Possible labels: fat_loss, muscle_gain, maintain. Return only the label."/>
    <n v="1.8333333333333333"/>
  </r>
  <r>
    <x v="6"/>
    <x v="2"/>
    <n v="151"/>
    <n v="1.98"/>
    <s v="classification"/>
    <s v="Based on the selected user's UserProfile (weight_kg, height_cm, body_fat_pct, activity_level, goal), determine whether their stated goal is appropriate for their current physical condition. Possible labels: match, mismatch. Return only the label."/>
    <n v="3.6666666666666665"/>
  </r>
  <r>
    <x v="6"/>
    <x v="2"/>
    <n v="164"/>
    <n v="1.98"/>
    <s v="classification"/>
    <s v="Based on the selected user's MealLog records, classify their eating habit by examining which meal_type entries (breakfast, lunch, dinner) appear or are missing across dates. Possible labels: regular_three_meals, skip_breakfast, skip_lunch, skip_dinner, irregular_meals. Return only the label."/>
    <n v="3.6666666666666665"/>
  </r>
  <r>
    <x v="6"/>
    <x v="2"/>
    <n v="142"/>
    <n v="1.98"/>
    <s v="classification"/>
    <s v="Based on the selected user's MealLog records, classify their food preference by examining the meal_name entries. Possible labels: asian_only, western_only, salad_heavy, mixed. Return only the label."/>
    <n v="3.3333333333333335"/>
  </r>
  <r>
    <x v="6"/>
    <x v="2"/>
    <n v="149"/>
    <n v="1.98"/>
    <s v="classification"/>
    <s v="Based on the selected user's MealLog records, classify their app engagement level by counting meals logged per day and the number of distinct dates. Possible labels: low_engagement, moderate_engagement, high_engagement. Return only the label."/>
    <n v="3.75"/>
  </r>
  <r>
    <x v="6"/>
    <x v="2"/>
    <n v="146"/>
    <n v="1.98"/>
    <s v="prediction"/>
    <s v="Based on the selected user's WeightLog history, BodyFatLog history, and UserProfile (goal, activity_level), predict their weight trend over the next 30 days. Return a short prediction with expected direction and estimated change."/>
    <n v="3.5"/>
  </r>
  <r>
    <x v="6"/>
    <x v="2"/>
    <n v="154"/>
    <n v="1.98"/>
    <s v="prediction"/>
    <s v="Based on the selected user's MealLog (calories, protein_g, carbs_g, fat_g per meal) and UserProfile (goal, activity_level), predict whether their current intake pattern will support their goal over the next 30 days. Return a short prediction."/>
    <n v="3"/>
  </r>
  <r>
    <x v="6"/>
    <x v="2"/>
    <n v="146"/>
    <n v="1.98"/>
    <s v="prediction"/>
    <s v="Based on the selected user's MealLog records, predict whether this user is likely to continue logging meals next week, based on the frequency and recency of their entries. Return: likely or unlikely, with a one-line reason."/>
    <n v="3.3333333333333335"/>
  </r>
  <r>
    <x v="6"/>
    <x v="2"/>
    <n v="151"/>
    <n v="1.98"/>
    <s v="prediction"/>
    <s v="Based on the selected user's WeightLog trend, BodyFatLog trend, and UserProfile (goal, activity_level), predict whether they are at risk of not achieving their fitness goal. Return: at_risk or on_track, with a one-line reason."/>
    <n v="3.6666666666666665"/>
  </r>
  <r>
    <x v="6"/>
    <x v="2"/>
    <n v="139"/>
    <n v="1.98"/>
    <s v="prediction"/>
    <s v="Based on the selected user's MealLog records, predict whether their eating habit is likely to change in the next month, based on patterns in meal_type and meal_name. Return a short prediction."/>
    <n v="3.6666666666666665"/>
  </r>
  <r>
    <x v="6"/>
    <x v="2"/>
    <n v="122"/>
    <n v="1.98"/>
    <s v="structured_extraction"/>
    <s v="From the selected user's UserNote, extract structured information about their eating preferences. Return as key-value pairs."/>
    <n v="3"/>
  </r>
  <r>
    <x v="6"/>
    <x v="2"/>
    <n v="125"/>
    <n v="1.94"/>
    <s v="structured_extraction"/>
    <s v="From the selected user's UserNote, extract structured information about their activity level and exercise habits. Return as key-value pairs."/>
    <n v="3"/>
  </r>
  <r>
    <x v="6"/>
    <x v="2"/>
    <n v="130"/>
    <n v="1.94"/>
    <s v="structured_extraction"/>
    <s v="From the selected user's UserNote, extract structured information about their fitness goal, including target amount and timeline if mentioned. Return as key-value pairs."/>
    <n v="0"/>
  </r>
  <r>
    <x v="6"/>
    <x v="2"/>
    <n v="105"/>
    <n v="1.66"/>
    <s v="structured_extraction"/>
    <s v="From the selected user's UserNote, extract any dietary restrictions mentioned. Return as key-value pairs."/>
    <n v="2.6666666666666665"/>
  </r>
  <r>
    <x v="6"/>
    <x v="2"/>
    <n v="127"/>
    <n v="1.94"/>
    <s v="structured_extraction"/>
    <s v="From the selected user's UserNote, extract body condition information that may affect their exercise or diet plan. Return as key-value pairs."/>
    <n v="1.3333333333333333"/>
  </r>
  <r>
    <x v="6"/>
    <x v="2"/>
    <n v="130"/>
    <n v="1.98"/>
    <s v="summarization"/>
    <s v="Based on the selected user's MealLog records, summarize their overall eating behavior in one sentence, covering meal timing, calorie intake, and nutritional balance."/>
    <n v="2.5"/>
  </r>
  <r>
    <x v="6"/>
    <x v="2"/>
    <n v="143"/>
    <n v="1.98"/>
    <s v="summarization"/>
    <s v="Based on the selected user's UserProfile (weight_kg, height_cm, body_fat_pct, activity_level, goal), provide a one-line summary of whether their stated goal is realistic given their current body metrics."/>
    <n v="2.75"/>
  </r>
  <r>
    <x v="6"/>
    <x v="2"/>
    <n v="132"/>
    <n v="1.99"/>
    <s v="summarization"/>
    <s v="Based on the selected user's MealLog records, summarize their diet pattern in one sentence, focusing on meal frequency, meal types, and any noticeable nutritional trends."/>
    <n v="3"/>
  </r>
  <r>
    <x v="6"/>
    <x v="2"/>
    <n v="126"/>
    <n v="1.98"/>
    <s v="summarization"/>
    <s v="Based on the selected user's MealLog records and BodyFatLog history, summarize their level of progress and consistency in one sentence."/>
    <n v="2.75"/>
  </r>
  <r>
    <x v="6"/>
    <x v="2"/>
    <n v="135"/>
    <n v="1.98"/>
    <s v="summarization"/>
    <s v="Based on the selected user's WeightLog history, BodyFatLog history, and UserProfile (goal, activity_level), summarize their overall progress toward their fitness goal in one sentence."/>
    <n v="3"/>
  </r>
  <r>
    <x v="6"/>
    <x v="2"/>
    <n v="117"/>
    <n v="1.93"/>
    <s v="text_generation"/>
    <s v="Generate a personalised good morning greeting for a user who is on a fat loss goal."/>
    <n v="2.25"/>
  </r>
  <r>
    <x v="6"/>
    <x v="2"/>
    <n v="125"/>
    <n v="1.93"/>
    <s v="text_generation"/>
    <s v="Generate a short motivational message for a user who has been consistently logging meals but has not seen weight change in 2 weeks."/>
    <n v="2.75"/>
  </r>
  <r>
    <x v="6"/>
    <x v="2"/>
    <n v="116"/>
    <n v="1.93"/>
    <s v="text_generation"/>
    <s v="Generate one practical healthy eating tip suitable for a university student with a busy schedule."/>
    <n v="3.5"/>
  </r>
  <r>
    <x v="6"/>
    <x v="2"/>
    <n v="121"/>
    <n v="1.93"/>
    <s v="text_generation"/>
    <s v="Generate a short reminder message for a user who has not logged any meals in the past 3 days."/>
    <n v="3.25"/>
  </r>
  <r>
    <x v="6"/>
    <x v="2"/>
    <n v="115"/>
    <n v="1.93"/>
    <s v="text_generation"/>
    <s v="Generate one follow-up question to better understand why a user keeps skipping breakfast."/>
    <n v="3.25"/>
  </r>
  <r>
    <x v="7"/>
    <x v="2"/>
    <n v="161"/>
    <n v="1.79"/>
    <s v="classification"/>
    <s v="Based on the selected user's UserProfile (height_cm, weight_kg, body_fat_pct, age, activity_level), classify their most suitable fitness goal. Possible labels: fat_loss, muscle_gain, maintain. Return only the label."/>
    <n v="3.1666666666666665"/>
  </r>
  <r>
    <x v="7"/>
    <x v="2"/>
    <n v="157"/>
    <n v="1.78"/>
    <s v="classification"/>
    <s v="Based on the selected user's UserProfile (weight_kg, height_cm, body_fat_pct, activity_level, goal), determine whether their stated goal is appropriate for their current physical condition. Possible labels: match, mismatch. Return only the label."/>
    <n v="3"/>
  </r>
  <r>
    <x v="7"/>
    <x v="2"/>
    <n v="178"/>
    <n v="1.8"/>
    <s v="classification"/>
    <s v="Based on the selected user's MealLog records, classify their eating habit by examining which meal_type entries (breakfast, lunch, dinner) appear or are missing across dates. Possible labels: regular_three_meals, skip_breakfast, skip_lunch, skip_dinner, irregular_meals. Return only the label."/>
    <n v="4"/>
  </r>
  <r>
    <x v="7"/>
    <x v="2"/>
    <n v="151"/>
    <n v="1.86"/>
    <s v="classification"/>
    <s v="Based on the selected user's MealLog records, classify their food preference by examining the meal_name entries. Possible labels: asian_only, western_only, salad_heavy, mixed. Return only the label."/>
    <n v="4"/>
  </r>
  <r>
    <x v="7"/>
    <x v="2"/>
    <n v="156"/>
    <n v="1.86"/>
    <s v="classification"/>
    <s v="Based on the selected user's MealLog records, classify their app engagement level by counting meals logged per day and the number of distinct dates. Possible labels: low_engagement, moderate_engagement, high_engagement. Return only the label."/>
    <n v="3.5"/>
  </r>
  <r>
    <x v="7"/>
    <x v="2"/>
    <n v="150"/>
    <n v="1.86"/>
    <s v="prediction"/>
    <s v="Based on the selected user's WeightLog history, BodyFatLog history, and UserProfile (goal, activity_level), predict their weight trend over the next 30 days. Return a short prediction with expected direction and estimated change."/>
    <n v="3.5"/>
  </r>
  <r>
    <x v="7"/>
    <x v="2"/>
    <n v="163"/>
    <n v="1.87"/>
    <s v="prediction"/>
    <s v="Based on the selected user's MealLog (calories, protein_g, carbs_g, fat_g per meal) and UserProfile (goal, activity_level), predict whether their current intake pattern will support their goal over the next 30 days. Return a short prediction."/>
    <n v="2.3333333333333335"/>
  </r>
  <r>
    <x v="7"/>
    <x v="2"/>
    <n v="150"/>
    <n v="1.78"/>
    <s v="prediction"/>
    <s v="Based on the selected user's MealLog records, predict whether this user is likely to continue logging meals next week, based on the frequency and recency of their entries. Return: likely or unlikely, with a one-line reason."/>
    <n v="3.3333333333333335"/>
  </r>
  <r>
    <x v="7"/>
    <x v="2"/>
    <n v="162"/>
    <n v="1.87"/>
    <s v="prediction"/>
    <s v="Based on the selected user's WeightLog trend, BodyFatLog trend, and UserProfile (goal, activity_level), predict whether they are at risk of not achieving their fitness goal. Return: at_risk or on_track, with a one-line reason."/>
    <n v="4"/>
  </r>
  <r>
    <x v="7"/>
    <x v="2"/>
    <n v="144"/>
    <n v="1.78"/>
    <s v="prediction"/>
    <s v="Based on the selected user's MealLog records, predict whether their eating habit is likely to change in the next month, based on patterns in meal_type and meal_name. Return a short prediction."/>
    <n v="3.6666666666666665"/>
  </r>
  <r>
    <x v="7"/>
    <x v="2"/>
    <n v="126"/>
    <n v="1.68"/>
    <s v="structured_extraction"/>
    <s v="From the selected user's UserNote, extract structured information about their eating preferences. Return as key-value pairs."/>
    <n v="2.3333333333333335"/>
  </r>
  <r>
    <x v="7"/>
    <x v="2"/>
    <n v="128"/>
    <n v="1.68"/>
    <s v="structured_extraction"/>
    <s v="From the selected user's UserNote, extract structured information about their activity level and exercise habits. Return as key-value pairs."/>
    <n v="3.3333333333333335"/>
  </r>
  <r>
    <x v="7"/>
    <x v="2"/>
    <n v="134"/>
    <n v="1.68"/>
    <s v="structured_extraction"/>
    <s v="From the selected user's UserNote, extract structured information about their fitness goal, including target amount and timeline if mentioned. Return as key-value pairs."/>
    <n v="4"/>
  </r>
  <r>
    <x v="7"/>
    <x v="2"/>
    <n v="123"/>
    <n v="1.68"/>
    <s v="structured_extraction"/>
    <s v="From the selected user's UserNote, extract any dietary restrictions mentioned. Return as key-value pairs."/>
    <n v="0.66666666666666663"/>
  </r>
  <r>
    <x v="7"/>
    <x v="2"/>
    <n v="129"/>
    <n v="1.69"/>
    <s v="structured_extraction"/>
    <s v="From the selected user's UserNote, extract body condition information that may affect their exercise or diet plan. Return as key-value pairs."/>
    <n v="3.3333333333333335"/>
  </r>
  <r>
    <x v="7"/>
    <x v="2"/>
    <n v="138"/>
    <n v="1.78"/>
    <s v="summarization"/>
    <s v="Based on the selected user's MealLog records, summarize their overall eating behavior in one sentence, covering meal timing, calorie intake, and nutritional balance."/>
    <n v="4"/>
  </r>
  <r>
    <x v="7"/>
    <x v="2"/>
    <n v="150"/>
    <n v="1.78"/>
    <s v="summarization"/>
    <s v="Based on the selected user's UserProfile (weight_kg, height_cm, body_fat_pct, activity_level, goal), provide a one-line summary of whether their stated goal is realistic given their current body metrics."/>
    <n v="4"/>
  </r>
  <r>
    <x v="7"/>
    <x v="2"/>
    <n v="142"/>
    <n v="1.78"/>
    <s v="summarization"/>
    <s v="Based on the selected user's MealLog records, summarize their diet pattern in one sentence, focusing on meal frequency, meal types, and any noticeable nutritional trends."/>
    <n v="2.25"/>
  </r>
  <r>
    <x v="7"/>
    <x v="2"/>
    <n v="130"/>
    <n v="1.78"/>
    <s v="summarization"/>
    <s v="Based on the selected user's MealLog records and BodyFatLog history, summarize their level of progress and consistency in one sentence."/>
    <n v="2.75"/>
  </r>
  <r>
    <x v="7"/>
    <x v="2"/>
    <n v="141"/>
    <n v="1.78"/>
    <s v="summarization"/>
    <s v="Based on the selected user's WeightLog history, BodyFatLog history, and UserProfile (goal, activity_level), summarize their overall progress toward their fitness goal in one sentence."/>
    <n v="2.75"/>
  </r>
  <r>
    <x v="7"/>
    <x v="2"/>
    <n v="120"/>
    <n v="1.67"/>
    <s v="text_generation"/>
    <s v="Generate a personalised good morning greeting for a user who is on a fat loss goal."/>
    <n v="2.25"/>
  </r>
  <r>
    <x v="7"/>
    <x v="2"/>
    <n v="128"/>
    <n v="1.68"/>
    <s v="text_generation"/>
    <s v="Generate a short motivational message for a user who has been consistently logging meals but has not seen weight change in 2 weeks."/>
    <n v="3"/>
  </r>
  <r>
    <x v="7"/>
    <x v="2"/>
    <n v="118"/>
    <n v="1.68"/>
    <s v="text_generation"/>
    <s v="Generate one practical healthy eating tip suitable for a university student with a busy schedule."/>
    <n v="3.5"/>
  </r>
  <r>
    <x v="7"/>
    <x v="2"/>
    <n v="123"/>
    <n v="1.68"/>
    <s v="text_generation"/>
    <s v="Generate a short reminder message for a user who has not logged any meals in the past 3 days."/>
    <n v="3.25"/>
  </r>
  <r>
    <x v="7"/>
    <x v="2"/>
    <n v="117"/>
    <n v="1.67"/>
    <s v="text_generation"/>
    <s v="Generate one follow-up question to better understand why a user keeps skipping breakfast."/>
    <n v="3"/>
  </r>
  <r>
    <x v="8"/>
    <x v="2"/>
    <n v="58"/>
    <n v="0.09"/>
    <s v="classification"/>
    <s v="Based on the selected user's UserProfile (height_cm, weight_kg, body_fat_pct, age, activity_level), classify their most suitable fitness goal. Possible labels: fat_loss, muscle_gain, maintain. Return only the label."/>
    <n v="3.25"/>
  </r>
  <r>
    <x v="8"/>
    <x v="2"/>
    <n v="155"/>
    <n v="1.38"/>
    <s v="classification"/>
    <s v="Based on the selected user's UserProfile (weight_kg, height_cm, body_fat_pct, activity_level, goal), determine whether their stated goal is appropriate for their current physical condition. Possible labels: match, mismatch. Return only the label."/>
    <n v="3.6666666666666665"/>
  </r>
  <r>
    <x v="8"/>
    <x v="2"/>
    <n v="171"/>
    <n v="1.38"/>
    <s v="classification"/>
    <s v="Based on the selected user's MealLog records, classify their eating habit by examining which meal_type entries (breakfast, lunch, dinner) appear or are missing across dates. Possible labels: regular_three_meals, skip_breakfast, skip_lunch, skip_dinner, irregular_meals. Return only the label."/>
    <n v="3.8333333333333335"/>
  </r>
  <r>
    <x v="8"/>
    <x v="2"/>
    <n v="50"/>
    <n v="0.09"/>
    <s v="classification"/>
    <s v="Based on the selected user's MealLog records, classify their food preference by examining the meal_name entries. Possible labels: asian_only, western_only, salad_heavy, mixed. Return only the label."/>
    <n v="4.5"/>
  </r>
  <r>
    <x v="8"/>
    <x v="2"/>
    <n v="73"/>
    <n v="0.34"/>
    <s v="classification"/>
    <s v="Based on the selected user's MealLog records, classify their app engagement level by counting meals logged per day and the number of distinct dates. Possible labels: low_engagement, moderate_engagement, high_engagement. Return only the label."/>
    <n v="3"/>
  </r>
  <r>
    <x v="8"/>
    <x v="2"/>
    <n v="138"/>
    <n v="1.3"/>
    <s v="prediction"/>
    <s v="Based on the selected user's WeightLog history, BodyFatLog history, and UserProfile (goal, activity_level), predict their weight trend over the next 30 days. Return a short prediction with expected direction and estimated change."/>
    <n v="3.5"/>
  </r>
  <r>
    <x v="8"/>
    <x v="2"/>
    <n v="152"/>
    <n v="1.32"/>
    <s v="prediction"/>
    <s v="Based on the selected user's MealLog (calories, protein_g, carbs_g, fat_g per meal) and UserProfile (goal, activity_level), predict whether their current intake pattern will support their goal over the next 30 days. Return a short prediction."/>
    <n v="3"/>
  </r>
  <r>
    <x v="8"/>
    <x v="2"/>
    <n v="137"/>
    <n v="1.26"/>
    <s v="prediction"/>
    <s v="Based on the selected user's MealLog records, predict whether this user is likely to continue logging meals next week, based on the frequency and recency of their entries. Return: likely or unlikely, with a one-line reason."/>
    <n v="3"/>
  </r>
  <r>
    <x v="8"/>
    <x v="2"/>
    <n v="58"/>
    <n v="0.09"/>
    <s v="prediction"/>
    <s v="Based on the selected user's WeightLog trend, BodyFatLog trend, and UserProfile (goal, activity_level), predict whether they are at risk of not achieving their fitness goal. Return: at_risk or on_track, with a one-line reason."/>
    <n v="3.6666666666666665"/>
  </r>
  <r>
    <x v="8"/>
    <x v="2"/>
    <n v="131"/>
    <n v="1.26"/>
    <s v="prediction"/>
    <s v="Based on the selected user's MealLog records, predict whether their eating habit is likely to change in the next month, based on patterns in meal_type and meal_name. Return a short prediction."/>
    <n v="3.6666666666666665"/>
  </r>
  <r>
    <x v="8"/>
    <x v="2"/>
    <n v="122"/>
    <n v="1.28"/>
    <s v="structured_extraction"/>
    <s v="From the selected user's UserNote, extract structured information about their eating preferences. Return as key-value pairs."/>
    <n v="1.3333333333333333"/>
  </r>
  <r>
    <x v="8"/>
    <x v="2"/>
    <n v="125"/>
    <n v="1.28"/>
    <s v="structured_extraction"/>
    <s v="From the selected user's UserNote, extract structured information about their activity level and exercise habits. Return as key-value pairs."/>
    <n v="3.6666666666666665"/>
  </r>
  <r>
    <x v="8"/>
    <x v="2"/>
    <n v="69"/>
    <n v="0.51"/>
    <s v="structured_extraction"/>
    <s v="From the selected user's UserNote, extract structured information about their fitness goal, including target amount and timeline if mentioned. Return as key-value pairs."/>
    <n v="4"/>
  </r>
  <r>
    <x v="8"/>
    <x v="2"/>
    <n v="39"/>
    <n v="0.26"/>
    <s v="structured_extraction"/>
    <s v="From the selected user's UserNote, extract any dietary restrictions mentioned. Return as key-value pairs."/>
    <n v="4"/>
  </r>
  <r>
    <x v="8"/>
    <x v="2"/>
    <n v="87"/>
    <n v="0.78"/>
    <s v="structured_extraction"/>
    <s v="From the selected user's UserNote, extract body condition information that may affect their exercise or diet plan. Return as key-value pairs."/>
    <n v="3"/>
  </r>
  <r>
    <x v="8"/>
    <x v="2"/>
    <n v="130"/>
    <n v="1.42"/>
    <s v="summarization"/>
    <s v="Based on the selected user's MealLog records, summarize their overall eating behavior in one sentence, covering meal timing, calorie intake, and nutritional balance."/>
    <n v="4"/>
  </r>
  <r>
    <x v="8"/>
    <x v="2"/>
    <n v="114"/>
    <n v="0.94"/>
    <s v="summarization"/>
    <s v="Based on the selected user's UserProfile (weight_kg, height_cm, body_fat_pct, activity_level, goal), provide a one-line summary of whether their stated goal is realistic given their current body metrics."/>
    <n v="4"/>
  </r>
  <r>
    <x v="8"/>
    <x v="2"/>
    <n v="100"/>
    <n v="0.96"/>
    <s v="summarization"/>
    <s v="Based on the selected user's MealLog records, summarize their diet pattern in one sentence, focusing on meal frequency, meal types, and any noticeable nutritional trends."/>
    <n v="3.25"/>
  </r>
  <r>
    <x v="8"/>
    <x v="2"/>
    <n v="92"/>
    <n v="0.94"/>
    <s v="summarization"/>
    <s v="Based on the selected user's MealLog records and BodyFatLog history, summarize their level of progress and consistency in one sentence."/>
    <n v="3"/>
  </r>
  <r>
    <x v="8"/>
    <x v="2"/>
    <n v="85"/>
    <n v="0.71"/>
    <s v="summarization"/>
    <s v="Based on the selected user's WeightLog history, BodyFatLog history, and UserProfile (goal, activity_level), summarize their overall progress toward their fitness goal in one sentence."/>
    <n v="3.75"/>
  </r>
  <r>
    <x v="8"/>
    <x v="2"/>
    <n v="78"/>
    <n v="0.78"/>
    <s v="text_generation"/>
    <s v="Generate a personalised good morning greeting for a user who is on a fat loss goal."/>
    <n v="3.25"/>
  </r>
  <r>
    <x v="8"/>
    <x v="2"/>
    <n v="65"/>
    <n v="0.54"/>
    <s v="text_generation"/>
    <s v="Generate a short motivational message for a user who has been consistently logging meals but has not seen weight change in 2 weeks."/>
    <n v="3.75"/>
  </r>
  <r>
    <x v="8"/>
    <x v="2"/>
    <n v="114"/>
    <n v="1.26"/>
    <s v="text_generation"/>
    <s v="Generate one practical healthy eating tip suitable for a university student with a busy schedule."/>
    <n v="3.5"/>
  </r>
  <r>
    <x v="8"/>
    <x v="2"/>
    <n v="58"/>
    <n v="0.52"/>
    <s v="text_generation"/>
    <s v="Generate a short reminder message for a user who has not logged any meals in the past 3 days."/>
    <n v="4"/>
  </r>
  <r>
    <x v="8"/>
    <x v="2"/>
    <n v="91"/>
    <n v="0.96"/>
    <s v="text_generation"/>
    <s v="Generate one follow-up question to better understand why a user keeps skipping breakfast."/>
    <n v="3"/>
  </r>
  <r>
    <x v="9"/>
    <x v="3"/>
    <n v="140"/>
    <n v="2.2200000000000002"/>
    <s v="classification"/>
    <s v="Based on the selected user's UserProfile (height_cm, weight_kg, body_fat_pct, age, activity_level), classify their most suitable fitness goal. Possible labels: fat_loss, muscle_gain, maintain. Return only the label."/>
    <n v="2.5"/>
  </r>
  <r>
    <x v="9"/>
    <x v="3"/>
    <n v="62"/>
    <n v="0.17"/>
    <s v="classification"/>
    <s v="Based on the selected user's UserProfile (weight_kg, height_cm, body_fat_pct, activity_level, goal), determine whether their stated goal is appropriate for their current physical condition. Possible labels: match, mismatch. Return only the label."/>
    <n v="3.25"/>
  </r>
  <r>
    <x v="9"/>
    <x v="3"/>
    <n v="135"/>
    <n v="1.66"/>
    <s v="classification"/>
    <s v="Based on the selected user's MealLog records, classify their eating habit by examining which meal_type entries (breakfast, lunch, dinner) appear or are missing across dates. Possible labels: regular_three_meals, skip_breakfast, skip_lunch, skip_dinner, irregular_meals. Return only the label."/>
    <n v="2.5"/>
  </r>
  <r>
    <x v="9"/>
    <x v="3"/>
    <n v="104"/>
    <n v="1.53"/>
    <s v="classification"/>
    <s v="Based on the selected user's MealLog records, classify their food preference by examining the meal_name entries. Possible labels: asian_only, western_only, salad_heavy, mixed. Return only the label."/>
    <n v="2.8333333333333335"/>
  </r>
  <r>
    <x v="9"/>
    <x v="3"/>
    <n v="153"/>
    <n v="2.67"/>
    <s v="classification"/>
    <s v="Based on the selected user's MealLog records, classify their app engagement level by counting meals logged per day and the number of distinct dates. Possible labels: low_engagement, moderate_engagement, high_engagement. Return only the label."/>
    <n v="3"/>
  </r>
  <r>
    <x v="9"/>
    <x v="3"/>
    <n v="151"/>
    <n v="2.77"/>
    <s v="prediction"/>
    <s v="Based on the selected user's WeightLog history, BodyFatLog history, and UserProfile (goal, activity_level), predict their weight trend over the next 30 days. Return a short prediction with expected direction and estimated change."/>
    <n v="3.3333333333333335"/>
  </r>
  <r>
    <x v="9"/>
    <x v="3"/>
    <n v="165"/>
    <n v="2.77"/>
    <s v="prediction"/>
    <s v="Based on the selected user's MealLog (calories, protein_g, carbs_g, fat_g per meal) and UserProfile (goal, activity_level), predict whether their current intake pattern will support their goal over the next 30 days. Return a short prediction."/>
    <n v="3"/>
  </r>
  <r>
    <x v="9"/>
    <x v="3"/>
    <n v="150"/>
    <n v="2.72"/>
    <s v="prediction"/>
    <s v="Based on the selected user's MealLog records, predict whether this user is likely to continue logging meals next week, based on the frequency and recency of their entries. Return: likely or unlikely, with a one-line reason."/>
    <n v="3"/>
  </r>
  <r>
    <x v="9"/>
    <x v="3"/>
    <n v="159"/>
    <n v="2.72"/>
    <s v="prediction"/>
    <s v="Based on the selected user's WeightLog trend, BodyFatLog trend, and UserProfile (goal, activity_level), predict whether they are at risk of not achieving their fitness goal. Return: at_risk or on_track, with a one-line reason."/>
    <n v="3"/>
  </r>
  <r>
    <x v="9"/>
    <x v="3"/>
    <n v="144"/>
    <n v="2.72"/>
    <s v="prediction"/>
    <s v="Based on the selected user's MealLog records, predict whether their eating habit is likely to change in the next month, based on patterns in meal_type and meal_name. Return a short prediction."/>
    <n v="3.6666666666666665"/>
  </r>
  <r>
    <x v="9"/>
    <x v="3"/>
    <n v="124"/>
    <n v="2.6"/>
    <s v="structured_extraction"/>
    <s v="From the selected user's UserNote, extract structured information about their eating preferences. Return as key-value pairs."/>
    <n v="3.6666666666666665"/>
  </r>
  <r>
    <x v="9"/>
    <x v="3"/>
    <n v="64"/>
    <n v="0.97"/>
    <s v="structured_extraction"/>
    <s v="From the selected user's UserNote, extract structured information about their activity level and exercise habits. Return as key-value pairs."/>
    <n v="4"/>
  </r>
  <r>
    <x v="9"/>
    <x v="3"/>
    <n v="134"/>
    <n v="2.6"/>
    <s v="structured_extraction"/>
    <s v="From the selected user's UserNote, extract structured information about their fitness goal, including target amount and timeline if mentioned. Return as key-value pairs."/>
    <n v="4"/>
  </r>
  <r>
    <x v="9"/>
    <x v="3"/>
    <n v="60"/>
    <n v="0.97"/>
    <s v="structured_extraction"/>
    <s v="From the selected user's UserNote, extract any dietary restrictions mentioned. Return as key-value pairs."/>
    <n v="1"/>
  </r>
  <r>
    <x v="9"/>
    <x v="3"/>
    <n v="62"/>
    <n v="0.86"/>
    <s v="structured_extraction"/>
    <s v="From the selected user's UserNote, extract body condition information that may affect their exercise or diet plan. Return as key-value pairs."/>
    <n v="3.6666666666666665"/>
  </r>
  <r>
    <x v="9"/>
    <x v="3"/>
    <n v="115"/>
    <n v="2.11"/>
    <s v="summarization"/>
    <s v="Based on the selected user's MealLog records, summarize their overall eating behavior in one sentence, covering meal timing, calorie intake, and nutritional balance."/>
    <n v="4"/>
  </r>
  <r>
    <x v="9"/>
    <x v="3"/>
    <n v="152"/>
    <n v="2.77"/>
    <s v="summarization"/>
    <s v="Based on the selected user's UserProfile (weight_kg, height_cm, body_fat_pct, activity_level, goal), provide a one-line summary of whether their stated goal is realistic given their current body metrics."/>
    <n v="4"/>
  </r>
  <r>
    <x v="9"/>
    <x v="3"/>
    <n v="140"/>
    <n v="2.72"/>
    <s v="summarization"/>
    <s v="Based on the selected user's MealLog records, summarize their diet pattern in one sentence, focusing on meal frequency, meal types, and any noticeable nutritional trends."/>
    <n v="3.25"/>
  </r>
  <r>
    <x v="9"/>
    <x v="3"/>
    <n v="94"/>
    <n v="1.77"/>
    <s v="summarization"/>
    <s v="Based on the selected user's MealLog records and BodyFatLog history, summarize their level of progress and consistency in one sentence."/>
    <n v="3"/>
  </r>
  <r>
    <x v="9"/>
    <x v="3"/>
    <n v="107"/>
    <n v="1.82"/>
    <s v="summarization"/>
    <s v="Based on the selected user's WeightLog history, BodyFatLog history, and UserProfile (goal, activity_level), summarize their overall progress toward their fitness goal in one sentence."/>
    <n v="3.75"/>
  </r>
  <r>
    <x v="9"/>
    <x v="3"/>
    <n v="90"/>
    <n v="1.84"/>
    <s v="text_generation"/>
    <s v="Generate a personalised good morning greeting for a user who is on a fat loss goal."/>
    <n v="3.25"/>
  </r>
  <r>
    <x v="9"/>
    <x v="3"/>
    <n v="126"/>
    <n v="2.59"/>
    <s v="text_generation"/>
    <s v="Generate a short motivational message for a user who has been consistently logging meals but has not seen weight change in 2 weeks."/>
    <n v="3.25"/>
  </r>
  <r>
    <x v="9"/>
    <x v="3"/>
    <n v="117"/>
    <n v="2.59"/>
    <s v="text_generation"/>
    <s v="Generate one practical healthy eating tip suitable for a university student with a busy schedule."/>
    <n v="3.5"/>
  </r>
  <r>
    <x v="9"/>
    <x v="3"/>
    <n v="98"/>
    <n v="2"/>
    <s v="text_generation"/>
    <s v="Generate a short reminder message for a user who has not logged any meals in the past 3 days."/>
    <n v="3.25"/>
  </r>
  <r>
    <x v="9"/>
    <x v="3"/>
    <n v="92"/>
    <n v="1.94"/>
    <s v="text_generation"/>
    <s v="Generate one follow-up question to better understand why a user keeps skipping breakfast."/>
    <n v="2.75"/>
  </r>
  <r>
    <x v="10"/>
    <x v="3"/>
    <n v="65"/>
    <n v="0.25"/>
    <s v="classification"/>
    <s v="Based on the selected user's UserProfile (height_cm, weight_kg, body_fat_pct, age, activity_level), classify their most suitable fitness goal. Possible labels: fat_loss, muscle_gain, maintain. Return only the label."/>
    <n v="3.75"/>
  </r>
  <r>
    <x v="10"/>
    <x v="3"/>
    <n v="112"/>
    <n v="1.48"/>
    <s v="classification"/>
    <s v="Based on the selected user's UserProfile (weight_kg, height_cm, body_fat_pct, activity_level, goal), determine whether their stated goal is appropriate for their current physical condition. Possible labels: match, mismatch. Return only the label."/>
    <n v="2.8333333333333335"/>
  </r>
  <r>
    <x v="10"/>
    <x v="3"/>
    <n v="85"/>
    <n v="0.31"/>
    <s v="classification"/>
    <s v="Based on the selected user's MealLog records, classify their eating habit by examining which meal_type entries (breakfast, lunch, dinner) appear or are missing across dates. Possible labels: regular_three_meals, skip_breakfast, skip_lunch, skip_dinner, irregular_meals. Return only the label."/>
    <n v="4.25"/>
  </r>
  <r>
    <x v="10"/>
    <x v="3"/>
    <n v="55"/>
    <n v="0.2"/>
    <s v="classification"/>
    <s v="Based on the selected user's MealLog records, classify their food preference by examining the meal_name entries. Possible labels: asian_only, western_only, salad_heavy, mixed. Return only the label."/>
    <n v="4.5"/>
  </r>
  <r>
    <x v="10"/>
    <x v="3"/>
    <n v="63"/>
    <n v="0.3"/>
    <s v="classification"/>
    <s v="Based on the selected user's MealLog records, classify their app engagement level by counting meals logged per day and the number of distinct dates. Possible labels: low_engagement, moderate_engagement, high_engagement. Return only the label."/>
    <n v="4.5"/>
  </r>
  <r>
    <x v="10"/>
    <x v="3"/>
    <n v="139"/>
    <n v="2.48"/>
    <s v="prediction"/>
    <s v="Based on the selected user's WeightLog history, BodyFatLog history, and UserProfile (goal, activity_level), predict their weight trend over the next 30 days. Return a short prediction with expected direction and estimated change."/>
    <n v="3.3333333333333335"/>
  </r>
  <r>
    <x v="10"/>
    <x v="3"/>
    <n v="165"/>
    <n v="2.72"/>
    <s v="prediction"/>
    <s v="Based on the selected user's MealLog (calories, protein_g, carbs_g, fat_g per meal) and UserProfile (goal, activity_level), predict whether their current intake pattern will support their goal over the next 30 days. Return a short prediction."/>
    <n v="3"/>
  </r>
  <r>
    <x v="10"/>
    <x v="3"/>
    <n v="149"/>
    <n v="2.69"/>
    <s v="prediction"/>
    <s v="Based on the selected user's MealLog records, predict whether this user is likely to continue logging meals next week, based on the frequency and recency of their entries. Return: likely or unlikely, with a one-line reason."/>
    <n v="3.5"/>
  </r>
  <r>
    <x v="10"/>
    <x v="3"/>
    <n v="159"/>
    <n v="2.72"/>
    <s v="prediction"/>
    <s v="Based on the selected user's WeightLog trend, BodyFatLog trend, and UserProfile (goal, activity_level), predict whether they are at risk of not achieving their fitness goal. Return: at_risk or on_track, with a one-line reason."/>
    <n v="3.6666666666666665"/>
  </r>
  <r>
    <x v="10"/>
    <x v="3"/>
    <n v="144"/>
    <n v="2.72"/>
    <s v="prediction"/>
    <s v="Based on the selected user's MealLog records, predict whether their eating habit is likely to change in the next month, based on patterns in meal_type and meal_name. Return a short prediction."/>
    <n v="3.6666666666666665"/>
  </r>
  <r>
    <x v="10"/>
    <x v="3"/>
    <n v="125"/>
    <n v="2.6"/>
    <s v="structured_extraction"/>
    <s v="From the selected user's UserNote, extract structured information about their eating preferences. Return as key-value pairs."/>
    <n v="2.8"/>
  </r>
  <r>
    <x v="10"/>
    <x v="3"/>
    <n v="121"/>
    <n v="2.4500000000000002"/>
    <s v="structured_extraction"/>
    <s v="From the selected user's UserNote, extract structured information about their activity level and exercise habits. Return as key-value pairs."/>
    <n v="2.6666666666666665"/>
  </r>
  <r>
    <x v="10"/>
    <x v="3"/>
    <n v="130"/>
    <n v="2.52"/>
    <s v="structured_extraction"/>
    <s v="From the selected user's UserNote, extract structured information about their fitness goal, including target amount and timeline if mentioned. Return as key-value pairs."/>
    <n v="4"/>
  </r>
  <r>
    <x v="10"/>
    <x v="3"/>
    <n v="56"/>
    <n v="0.86"/>
    <s v="structured_extraction"/>
    <s v="From the selected user's UserNote, extract any dietary restrictions mentioned. Return as key-value pairs."/>
    <n v="2.6666666666666665"/>
  </r>
  <r>
    <x v="10"/>
    <x v="3"/>
    <n v="130"/>
    <n v="2.6"/>
    <s v="structured_extraction"/>
    <s v="From the selected user's UserNote, extract body condition information that may affect their exercise or diet plan. Return as key-value pairs."/>
    <n v="2.3333333333333335"/>
  </r>
  <r>
    <x v="10"/>
    <x v="3"/>
    <n v="138"/>
    <n v="2.72"/>
    <s v="summarization"/>
    <s v="Based on the selected user's MealLog records, summarize their overall eating behavior in one sentence, covering meal timing, calorie intake, and nutritional balance."/>
    <n v="4"/>
  </r>
  <r>
    <x v="10"/>
    <x v="3"/>
    <n v="89"/>
    <n v="1.0900000000000001"/>
    <s v="summarization"/>
    <s v="Based on the selected user's UserProfile (weight_kg, height_cm, body_fat_pct, activity_level, goal), provide a one-line summary of whether their stated goal is realistic given their current body metrics."/>
    <n v="4"/>
  </r>
  <r>
    <x v="10"/>
    <x v="3"/>
    <n v="109"/>
    <n v="1.96"/>
    <s v="summarization"/>
    <s v="Based on the selected user's MealLog records, summarize their diet pattern in one sentence, focusing on meal frequency, meal types, and any noticeable nutritional trends."/>
    <n v="3.25"/>
  </r>
  <r>
    <x v="10"/>
    <x v="3"/>
    <n v="68"/>
    <n v="1.1200000000000001"/>
    <s v="summarization"/>
    <s v="Based on the selected user's MealLog records and BodyFatLog history, summarize their level of progress and consistency in one sentence."/>
    <n v="3"/>
  </r>
  <r>
    <x v="10"/>
    <x v="3"/>
    <n v="70"/>
    <n v="0.88"/>
    <s v="summarization"/>
    <s v="Based on the selected user's WeightLog history, BodyFatLog history, and UserProfile (goal, activity_level), summarize their overall progress toward their fitness goal in one sentence."/>
    <n v="3.75"/>
  </r>
  <r>
    <x v="10"/>
    <x v="3"/>
    <n v="76"/>
    <n v="1.48"/>
    <s v="text_generation"/>
    <s v="Generate a personalised good morning greeting for a user who is on a fat loss goal."/>
    <n v="3"/>
  </r>
  <r>
    <x v="10"/>
    <x v="3"/>
    <n v="113"/>
    <n v="2.2599999999999998"/>
    <s v="text_generation"/>
    <s v="Generate a short motivational message for a user who has been consistently logging meals but has not seen weight change in 2 weeks."/>
    <n v="3.75"/>
  </r>
  <r>
    <x v="10"/>
    <x v="3"/>
    <n v="117"/>
    <n v="2.59"/>
    <s v="text_generation"/>
    <s v="Generate one practical healthy eating tip suitable for a university student with a busy schedule."/>
    <n v="3.5"/>
  </r>
  <r>
    <x v="10"/>
    <x v="3"/>
    <n v="121"/>
    <n v="2.59"/>
    <s v="text_generation"/>
    <s v="Generate a short reminder message for a user who has not logged any meals in the past 3 days."/>
    <n v="3.25"/>
  </r>
  <r>
    <x v="10"/>
    <x v="3"/>
    <n v="32"/>
    <n v="0.39"/>
    <s v="text_generation"/>
    <s v="Generate one follow-up question to better understand why a user keeps skipping breakfast."/>
    <n v="3"/>
  </r>
  <r>
    <x v="11"/>
    <x v="3"/>
    <n v="78"/>
    <n v="1.2"/>
    <s v="classification"/>
    <s v="Based on the selected user's UserProfile (height_cm, weight_kg, body_fat_pct, age, activity_level), classify their most suitable fitness goal. Possible labels: fat_loss, muscle_gain, maintain. Return only the label."/>
    <n v="2.5"/>
  </r>
  <r>
    <x v="11"/>
    <x v="3"/>
    <n v="124"/>
    <n v="2.66"/>
    <s v="classification"/>
    <s v="Based on the selected user's UserProfile (weight_kg, height_cm, body_fat_pct, activity_level, goal), determine whether their stated goal is appropriate for their current physical condition. Possible labels: match, mismatch. Return only the label."/>
    <n v="3.3333333333333335"/>
  </r>
  <r>
    <x v="11"/>
    <x v="3"/>
    <n v="99"/>
    <n v="1.18"/>
    <s v="classification"/>
    <s v="Based on the selected user's MealLog records, classify their eating habit by examining which meal_type entries (breakfast, lunch, dinner) appear or are missing across dates. Possible labels: regular_three_meals, skip_breakfast, skip_lunch, skip_dinner, irregular_meals. Return only the label."/>
    <n v="3.5"/>
  </r>
  <r>
    <x v="11"/>
    <x v="3"/>
    <n v="67"/>
    <n v="1.03"/>
    <s v="classification"/>
    <s v="Based on the selected user's MealLog records, classify their food preference by examining the meal_name entries. Possible labels: asian_only, western_only, salad_heavy, mixed. Return only the label."/>
    <n v="2.3333333333333335"/>
  </r>
  <r>
    <x v="11"/>
    <x v="3"/>
    <n v="54"/>
    <n v="0.47"/>
    <s v="classification"/>
    <s v="Based on the selected user's MealLog records, classify their app engagement level by counting meals logged per day and the number of distinct dates. Possible labels: low_engagement, moderate_engagement, high_engagement. Return only the label."/>
    <n v="4.25"/>
  </r>
  <r>
    <x v="11"/>
    <x v="3"/>
    <n v="83"/>
    <n v="1.46"/>
    <s v="prediction"/>
    <s v="Based on the selected user's WeightLog history, BodyFatLog history, and UserProfile (goal, activity_level), predict their weight trend over the next 30 days. Return a short prediction with expected direction and estimated change."/>
    <n v="4"/>
  </r>
  <r>
    <x v="11"/>
    <x v="3"/>
    <n v="116"/>
    <n v="2.2000000000000002"/>
    <s v="prediction"/>
    <s v="Based on the selected user's MealLog (calories, protein_g, carbs_g, fat_g per meal) and UserProfile (goal, activity_level), predict whether their current intake pattern will support their goal over the next 30 days. Return a short prediction."/>
    <n v="3"/>
  </r>
  <r>
    <x v="11"/>
    <x v="3"/>
    <n v="95"/>
    <n v="1.85"/>
    <s v="prediction"/>
    <s v="Based on the selected user's MealLog records, predict whether this user is likely to continue logging meals next week, based on the frequency and recency of their entries. Return: likely or unlikely, with a one-line reason."/>
    <n v="3.5"/>
  </r>
  <r>
    <x v="11"/>
    <x v="3"/>
    <n v="109"/>
    <n v="2.06"/>
    <s v="prediction"/>
    <s v="Based on the selected user's WeightLog trend, BodyFatLog trend, and UserProfile (goal, activity_level), predict whether they are at risk of not achieving their fitness goal. Return: at_risk or on_track, with a one-line reason."/>
    <n v="3.6666666666666665"/>
  </r>
  <r>
    <x v="11"/>
    <x v="3"/>
    <n v="119"/>
    <n v="2.98"/>
    <s v="prediction"/>
    <s v="Based on the selected user's MealLog records, predict whether their eating habit is likely to change in the next month, based on patterns in meal_type and meal_name. Return a short prediction."/>
    <n v="3.6666666666666665"/>
  </r>
  <r>
    <x v="11"/>
    <x v="3"/>
    <n v="123"/>
    <n v="3.55"/>
    <s v="structured_extraction"/>
    <s v="From the selected user's UserNote, extract structured information about their eating preferences. Return as key-value pairs."/>
    <n v="1.3333333333333333"/>
  </r>
  <r>
    <x v="11"/>
    <x v="3"/>
    <n v="126"/>
    <n v="3.54"/>
    <s v="structured_extraction"/>
    <s v="From the selected user's UserNote, extract structured information about their activity level and exercise habits. Return as key-value pairs."/>
    <n v="4"/>
  </r>
  <r>
    <x v="11"/>
    <x v="3"/>
    <n v="131"/>
    <n v="3.54"/>
    <s v="structured_extraction"/>
    <s v="From the selected user's UserNote, extract structured information about their fitness goal, including target amount and timeline if mentioned. Return as key-value pairs."/>
    <n v="1"/>
  </r>
  <r>
    <x v="11"/>
    <x v="3"/>
    <n v="121"/>
    <n v="3.55"/>
    <s v="structured_extraction"/>
    <s v="From the selected user's UserNote, extract any dietary restrictions mentioned. Return as key-value pairs."/>
    <n v="0"/>
  </r>
  <r>
    <x v="11"/>
    <x v="3"/>
    <n v="127"/>
    <n v="3.55"/>
    <s v="structured_extraction"/>
    <s v="From the selected user's UserNote, extract body condition information that may affect their exercise or diet plan. Return as key-value pairs."/>
    <n v="1.3333333333333333"/>
  </r>
  <r>
    <x v="11"/>
    <x v="3"/>
    <n v="69"/>
    <n v="1.56"/>
    <s v="summarization"/>
    <s v="Based on the selected user's MealLog records, summarize their overall eating behavior in one sentence, covering meal timing, calorie intake, and nutritional balance."/>
    <n v="4"/>
  </r>
  <r>
    <x v="11"/>
    <x v="3"/>
    <n v="150"/>
    <n v="3.73"/>
    <s v="summarization"/>
    <s v="Based on the selected user's UserProfile (weight_kg, height_cm, body_fat_pct, activity_level, goal), provide a one-line summary of whether their stated goal is realistic given their current body metrics."/>
    <n v="4"/>
  </r>
  <r>
    <x v="11"/>
    <x v="3"/>
    <n v="114"/>
    <n v="3.08"/>
    <s v="summarization"/>
    <s v="Based on the selected user's MealLog records, summarize their diet pattern in one sentence, focusing on meal frequency, meal types, and any noticeable nutritional trends."/>
    <n v="3.25"/>
  </r>
  <r>
    <x v="11"/>
    <x v="3"/>
    <n v="81"/>
    <n v="2.16"/>
    <s v="summarization"/>
    <s v="Based on the selected user's MealLog records and BodyFatLog history, summarize their level of progress and consistency in one sentence."/>
    <n v="3"/>
  </r>
  <r>
    <x v="11"/>
    <x v="3"/>
    <n v="138"/>
    <n v="3.72"/>
    <s v="summarization"/>
    <s v="Based on the selected user's WeightLog history, BodyFatLog history, and UserProfile (goal, activity_level), summarize their overall progress toward their fitness goal in one sentence."/>
    <n v="3"/>
  </r>
  <r>
    <x v="11"/>
    <x v="3"/>
    <n v="101"/>
    <n v="3.09"/>
    <s v="text_generation"/>
    <s v="Generate a personalised good morning greeting for a user who is on a fat loss goal."/>
    <n v="3"/>
  </r>
  <r>
    <x v="11"/>
    <x v="3"/>
    <n v="82"/>
    <n v="2.06"/>
    <s v="text_generation"/>
    <s v="Generate a short motivational message for a user who has been consistently logging meals but has not seen weight change in 2 weeks."/>
    <n v="3.75"/>
  </r>
  <r>
    <x v="11"/>
    <x v="3"/>
    <n v="56"/>
    <n v="1.49"/>
    <s v="text_generation"/>
    <s v="Generate one practical healthy eating tip suitable for a university student with a busy schedule."/>
    <n v="3.5"/>
  </r>
  <r>
    <x v="11"/>
    <x v="3"/>
    <n v="57"/>
    <n v="1.31"/>
    <s v="text_generation"/>
    <s v="Generate a short reminder message for a user who has not logged any meals in the past 3 days."/>
    <n v="4"/>
  </r>
  <r>
    <x v="11"/>
    <x v="3"/>
    <n v="27"/>
    <n v="0.43"/>
    <s v="text_generation"/>
    <s v="Generate one follow-up question to better understand why a user keeps skipping breakfast."/>
    <n v="3"/>
  </r>
  <r>
    <x v="12"/>
    <x v="4"/>
    <n v="157"/>
    <n v="3.47"/>
    <s v="classification"/>
    <s v="Based on the selected user's UserProfile (height_cm, weight_kg, body_fat_pct, age, activity_level), classify their most suitable fitness goal. Possible labels: fat_loss, muscle_gain, maintain. Return only the label."/>
    <n v="2.1666666666666665"/>
  </r>
  <r>
    <x v="12"/>
    <x v="4"/>
    <n v="155"/>
    <n v="3.47"/>
    <s v="classification"/>
    <s v="Based on the selected user's UserProfile (weight_kg, height_cm, body_fat_pct, activity_level, goal), determine whether their stated goal is appropriate for their current physical condition. Possible labels: match, mismatch. Return only the label."/>
    <n v="3.1666666666666665"/>
  </r>
  <r>
    <x v="12"/>
    <x v="4"/>
    <n v="173"/>
    <n v="3.47"/>
    <s v="classification"/>
    <s v="Based on the selected user's MealLog records, classify their eating habit by examining which meal_type entries (breakfast, lunch, dinner) appear or are missing across dates. Possible labels: regular_three_meals, skip_breakfast, skip_lunch, skip_dinner, irregular_meals. Return only the label."/>
    <n v="3.6666666666666665"/>
  </r>
  <r>
    <x v="12"/>
    <x v="4"/>
    <n v="143"/>
    <n v="3.47"/>
    <s v="classification"/>
    <s v="Based on the selected user's MealLog records, classify their food preference by examining the meal_name entries. Possible labels: asian_only, western_only, salad_heavy, mixed. Return only the label."/>
    <n v="2.8333333333333335"/>
  </r>
  <r>
    <x v="12"/>
    <x v="4"/>
    <n v="153"/>
    <n v="3.47"/>
    <s v="classification"/>
    <s v="Based on the selected user's MealLog records, classify their app engagement level by counting meals logged per day and the number of distinct dates. Possible labels: low_engagement, moderate_engagement, high_engagement. Return only the label."/>
    <n v="2.1666666666666665"/>
  </r>
  <r>
    <x v="12"/>
    <x v="4"/>
    <n v="150"/>
    <n v="3.47"/>
    <s v="prediction"/>
    <s v="Based on the selected user's WeightLog history, BodyFatLog history, and UserProfile (goal, activity_level), predict their weight trend over the next 30 days. Return a short prediction with expected direction and estimated change."/>
    <n v="3.6666666666666665"/>
  </r>
  <r>
    <x v="12"/>
    <x v="4"/>
    <n v="161"/>
    <n v="3.54"/>
    <s v="prediction"/>
    <s v="Based on the selected user's MealLog (calories, protein_g, carbs_g, fat_g per meal) and UserProfile (goal, activity_level), predict whether their current intake pattern will support their goal over the next 30 days. Return a short prediction."/>
    <n v="3"/>
  </r>
  <r>
    <x v="12"/>
    <x v="4"/>
    <n v="147"/>
    <n v="3.47"/>
    <s v="prediction"/>
    <s v="Based on the selected user's MealLog records, predict whether this user is likely to continue logging meals next week, based on the frequency and recency of their entries. Return: likely or unlikely, with a one-line reason."/>
    <n v="3.5"/>
  </r>
  <r>
    <x v="12"/>
    <x v="4"/>
    <n v="157"/>
    <n v="3.47"/>
    <s v="prediction"/>
    <s v="Based on the selected user's WeightLog trend, BodyFatLog trend, and UserProfile (goal, activity_level), predict whether they are at risk of not achieving their fitness goal. Return: at_risk or on_track, with a one-line reason."/>
    <n v="3"/>
  </r>
  <r>
    <x v="12"/>
    <x v="4"/>
    <n v="142"/>
    <n v="3.47"/>
    <s v="prediction"/>
    <s v="Based on the selected user's MealLog records, predict whether their eating habit is likely to change in the next month, based on patterns in meal_type and meal_name. Return a short prediction."/>
    <n v="3.1666666666666665"/>
  </r>
  <r>
    <x v="12"/>
    <x v="4"/>
    <n v="124"/>
    <n v="3.32"/>
    <s v="structured_extraction"/>
    <s v="From the selected user's UserNote, extract structured information about their eating preferences. Return as key-value pairs."/>
    <n v="2.4"/>
  </r>
  <r>
    <x v="12"/>
    <x v="4"/>
    <n v="98"/>
    <n v="3.32"/>
    <s v="structured_extraction"/>
    <s v="From the selected user's UserNote, extract structured information about their activity level and exercise habits. Return as key-value pairs."/>
    <n v="4"/>
  </r>
  <r>
    <x v="12"/>
    <x v="4"/>
    <n v="131"/>
    <n v="3.32"/>
    <s v="structured_extraction"/>
    <s v="From the selected user's UserNote, extract structured information about their fitness goal, including target amount and timeline if mentioned. Return as key-value pairs."/>
    <n v="0"/>
  </r>
  <r>
    <x v="12"/>
    <x v="4"/>
    <n v="121"/>
    <n v="3.32"/>
    <s v="structured_extraction"/>
    <s v="From the selected user's UserNote, extract any dietary restrictions mentioned. Return as key-value pairs."/>
    <n v="0"/>
  </r>
  <r>
    <x v="12"/>
    <x v="4"/>
    <n v="128"/>
    <n v="3.32"/>
    <s v="structured_extraction"/>
    <s v="From the selected user's UserNote, extract body condition information that may affect their exercise or diet plan. Return as key-value pairs."/>
    <n v="4"/>
  </r>
  <r>
    <x v="12"/>
    <x v="4"/>
    <n v="132"/>
    <n v="3.47"/>
    <s v="summarization"/>
    <s v="Based on the selected user's MealLog records, summarize their overall eating behavior in one sentence, covering meal timing, calorie intake, and nutritional balance."/>
    <n v="4"/>
  </r>
  <r>
    <x v="12"/>
    <x v="4"/>
    <n v="150"/>
    <n v="3.47"/>
    <s v="summarization"/>
    <s v="Based on the selected user's UserProfile (weight_kg, height_cm, body_fat_pct, activity_level, goal), provide a one-line summary of whether their stated goal is realistic given their current body metrics."/>
    <n v="4"/>
  </r>
  <r>
    <x v="12"/>
    <x v="4"/>
    <n v="133"/>
    <n v="3.47"/>
    <s v="summarization"/>
    <s v="Based on the selected user's MealLog records, summarize their diet pattern in one sentence, focusing on meal frequency, meal types, and any noticeable nutritional trends."/>
    <n v="3.25"/>
  </r>
  <r>
    <x v="12"/>
    <x v="4"/>
    <n v="129"/>
    <n v="3.54"/>
    <s v="summarization"/>
    <s v="Based on the selected user's MealLog records and BodyFatLog history, summarize their level of progress and consistency in one sentence."/>
    <n v="3"/>
  </r>
  <r>
    <x v="12"/>
    <x v="4"/>
    <n v="138"/>
    <n v="3.54"/>
    <s v="summarization"/>
    <s v="Based on the selected user's WeightLog history, BodyFatLog history, and UserProfile (goal, activity_level), summarize their overall progress toward their fitness goal in one sentence."/>
    <n v="3.75"/>
  </r>
  <r>
    <x v="12"/>
    <x v="4"/>
    <n v="117"/>
    <n v="3.31"/>
    <s v="text_generation"/>
    <s v="Generate a personalised good morning greeting for a user who is on a fat loss goal."/>
    <n v="3"/>
  </r>
  <r>
    <x v="12"/>
    <x v="4"/>
    <n v="125"/>
    <n v="3.31"/>
    <s v="text_generation"/>
    <s v="Generate a short motivational message for a user who has been consistently logging meals but has not seen weight change in 2 weeks."/>
    <n v="3"/>
  </r>
  <r>
    <x v="12"/>
    <x v="4"/>
    <n v="115"/>
    <n v="3.31"/>
    <s v="text_generation"/>
    <s v="Generate one practical healthy eating tip suitable for a university student with a busy schedule."/>
    <n v="2.5"/>
  </r>
  <r>
    <x v="12"/>
    <x v="4"/>
    <n v="120"/>
    <n v="3.31"/>
    <s v="text_generation"/>
    <s v="Generate a short reminder message for a user who has not logged any meals in the past 3 days."/>
    <n v="3"/>
  </r>
  <r>
    <x v="12"/>
    <x v="4"/>
    <n v="115"/>
    <n v="3.31"/>
    <s v="text_generation"/>
    <s v="Generate one follow-up question to better understand why a user keeps skipping breakfast."/>
    <n v="3"/>
  </r>
  <r>
    <x v="13"/>
    <x v="4"/>
    <n v="103"/>
    <n v="10.45"/>
    <s v="classification"/>
    <s v="Based on the selected user's UserProfile (height_cm, weight_kg, body_fat_pct, age, activity_level), classify their most suitable fitness goal. Possible labels: fat_loss, muscle_gain, maintain. Return only the label."/>
    <n v="2.5"/>
  </r>
  <r>
    <x v="13"/>
    <x v="4"/>
    <n v="160"/>
    <n v="19.350000000000001"/>
    <s v="classification"/>
    <s v="Based on the selected user's UserProfile (weight_kg, height_cm, body_fat_pct, activity_level, goal), determine whether their stated goal is appropriate for their current physical condition. Possible labels: match, mismatch. Return only the label."/>
    <n v="3.1666666666666665"/>
  </r>
  <r>
    <x v="13"/>
    <x v="4"/>
    <n v="85"/>
    <n v="1.41"/>
    <s v="classification"/>
    <s v="Based on the selected user's MealLog records, classify their eating habit by examining which meal_type entries (breakfast, lunch, dinner) appear or are missing across dates. Possible labels: regular_three_meals, skip_breakfast, skip_lunch, skip_dinner, irregular_meals. Return only the label."/>
    <n v="4.5"/>
  </r>
  <r>
    <x v="13"/>
    <x v="4"/>
    <n v="54"/>
    <n v="0.95"/>
    <s v="classification"/>
    <s v="Based on the selected user's MealLog records, classify their food preference by examining the meal_name entries. Possible labels: asian_only, western_only, salad_heavy, mixed. Return only the label."/>
    <n v="4.5"/>
  </r>
  <r>
    <x v="13"/>
    <x v="4"/>
    <n v="61"/>
    <n v="1.41"/>
    <s v="classification"/>
    <s v="Based on the selected user's MealLog records, classify their app engagement level by counting meals logged per day and the number of distinct dates. Possible labels: low_engagement, moderate_engagement, high_engagement. Return only the label."/>
    <n v="4.5"/>
  </r>
  <r>
    <x v="13"/>
    <x v="4"/>
    <n v="151"/>
    <n v="19.04"/>
    <s v="prediction"/>
    <s v="Based on the selected user's WeightLog history, BodyFatLog history, and UserProfile (goal, activity_level), predict their weight trend over the next 30 days. Return a short prediction with expected direction and estimated change."/>
    <n v="3.6666666666666665"/>
  </r>
  <r>
    <x v="13"/>
    <x v="4"/>
    <n v="165"/>
    <n v="19.27"/>
    <s v="prediction"/>
    <s v="Based on the selected user's MealLog (calories, protein_g, carbs_g, fat_g per meal) and UserProfile (goal, activity_level), predict whether their current intake pattern will support their goal over the next 30 days. Return a short prediction."/>
    <n v="3"/>
  </r>
  <r>
    <x v="13"/>
    <x v="4"/>
    <n v="97"/>
    <n v="8.89"/>
    <s v="prediction"/>
    <s v="Based on the selected user's MealLog records, predict whether this user is likely to continue logging meals next week, based on the frequency and recency of their entries. Return: likely or unlikely, with a one-line reason."/>
    <n v="3.5"/>
  </r>
  <r>
    <x v="13"/>
    <x v="4"/>
    <n v="124"/>
    <n v="12.73"/>
    <s v="prediction"/>
    <s v="Based on the selected user's WeightLog trend, BodyFatLog trend, and UserProfile (goal, activity_level), predict whether they are at risk of not achieving their fitness goal. Return: at_risk or on_track, with a one-line reason."/>
    <n v="3.6666666666666665"/>
  </r>
  <r>
    <x v="13"/>
    <x v="4"/>
    <n v="144"/>
    <n v="24.7"/>
    <s v="prediction"/>
    <s v="Based on the selected user's MealLog records, predict whether their eating habit is likely to change in the next month, based on patterns in meal_type and meal_name. Return a short prediction."/>
    <n v="3.6666666666666665"/>
  </r>
  <r>
    <x v="13"/>
    <x v="4"/>
    <n v="63"/>
    <n v="1.98"/>
    <s v="structured_extraction"/>
    <s v="From the selected user's UserNote, extract structured information about their eating preferences. Return as key-value pairs."/>
    <n v="2"/>
  </r>
  <r>
    <x v="13"/>
    <x v="4"/>
    <n v="54"/>
    <n v="1.33"/>
    <s v="structured_extraction"/>
    <s v="From the selected user's UserNote, extract structured information about their activity level and exercise habits. Return as key-value pairs."/>
    <n v="2.6666666666666665"/>
  </r>
  <r>
    <x v="13"/>
    <x v="4"/>
    <n v="75"/>
    <n v="2.14"/>
    <s v="structured_extraction"/>
    <s v="From the selected user's UserNote, extract structured information about their fitness goal, including target amount and timeline if mentioned. Return as key-value pairs."/>
    <n v="4"/>
  </r>
  <r>
    <x v="13"/>
    <x v="4"/>
    <n v="44"/>
    <n v="1.08"/>
    <s v="structured_extraction"/>
    <s v="From the selected user's UserNote, extract any dietary restrictions mentioned. Return as key-value pairs."/>
    <n v="4"/>
  </r>
  <r>
    <x v="13"/>
    <x v="4"/>
    <n v="56"/>
    <n v="1.33"/>
    <s v="structured_extraction"/>
    <s v="From the selected user's UserNote, extract body condition information that may affect their exercise or diet plan. Return as key-value pairs."/>
    <n v="2.3333333333333335"/>
  </r>
  <r>
    <x v="13"/>
    <x v="4"/>
    <n v="111"/>
    <n v="13.35"/>
    <s v="summarization"/>
    <s v="Based on the selected user's MealLog records, summarize their overall eating behavior in one sentence, covering meal timing, calorie intake, and nutritional balance."/>
    <n v="4"/>
  </r>
  <r>
    <x v="13"/>
    <x v="4"/>
    <n v="136"/>
    <n v="20.94"/>
    <s v="summarization"/>
    <s v="Based on the selected user's UserProfile (weight_kg, height_cm, body_fat_pct, activity_level, goal), provide a one-line summary of whether their stated goal is realistic given their current body metrics."/>
    <n v="4"/>
  </r>
  <r>
    <x v="13"/>
    <x v="4"/>
    <n v="139"/>
    <n v="18.600000000000001"/>
    <s v="summarization"/>
    <s v="Based on the selected user's MealLog records, summarize their diet pattern in one sentence, focusing on meal frequency, meal types, and any noticeable nutritional trends."/>
    <n v="3.25"/>
  </r>
  <r>
    <x v="13"/>
    <x v="4"/>
    <n v="98"/>
    <n v="16.46"/>
    <s v="summarization"/>
    <s v="Based on the selected user's MealLog records and BodyFatLog history, summarize their level of progress and consistency in one sentence."/>
    <n v="3"/>
  </r>
  <r>
    <x v="13"/>
    <x v="4"/>
    <n v="139"/>
    <n v="18.579999999999998"/>
    <s v="summarization"/>
    <s v="Based on the selected user's WeightLog history, BodyFatLog history, and UserProfile (goal, activity_level), summarize their overall progress toward their fitness goal in one sentence."/>
    <n v="3.75"/>
  </r>
  <r>
    <x v="13"/>
    <x v="4"/>
    <n v="86"/>
    <n v="3.14"/>
    <s v="text_generation"/>
    <s v="Generate a personalised good morning greeting for a user who is on a fat loss goal."/>
    <n v="3.25"/>
  </r>
  <r>
    <x v="13"/>
    <x v="4"/>
    <n v="116"/>
    <n v="4.33"/>
    <s v="text_generation"/>
    <s v="Generate a short motivational message for a user who has been consistently logging meals but has not seen weight change in 2 weeks."/>
    <n v="3.75"/>
  </r>
  <r>
    <x v="13"/>
    <x v="4"/>
    <n v="83"/>
    <n v="3.07"/>
    <s v="text_generation"/>
    <s v="Generate one practical healthy eating tip suitable for a university student with a busy schedule."/>
    <n v="3.5"/>
  </r>
  <r>
    <x v="13"/>
    <x v="4"/>
    <n v="67"/>
    <n v="2.11"/>
    <s v="text_generation"/>
    <s v="Generate a short reminder message for a user who has not logged any meals in the past 3 days."/>
    <n v="3.25"/>
  </r>
  <r>
    <x v="13"/>
    <x v="4"/>
    <n v="58"/>
    <n v="1.8"/>
    <s v="text_generation"/>
    <s v="Generate one follow-up question to better understand why a user keeps skipping breakfast."/>
    <n v="2.75"/>
  </r>
  <r>
    <x v="14"/>
    <x v="4"/>
    <n v="64"/>
    <n v="0.23"/>
    <s v="classification"/>
    <s v="Based on the selected user's UserProfile (height_cm, weight_kg, body_fat_pct, age, activity_level), classify their most suitable fitness goal. Possible labels: fat_loss, muscle_gain, maintain. Return only the label."/>
    <n v="3.75"/>
  </r>
  <r>
    <x v="14"/>
    <x v="4"/>
    <n v="62"/>
    <n v="0.28000000000000003"/>
    <s v="classification"/>
    <s v="Based on the selected user's UserProfile (weight_kg, height_cm, body_fat_pct, activity_level, goal), determine whether their stated goal is appropriate for their current physical condition. Possible labels: match, mismatch. Return only the label."/>
    <n v="3.25"/>
  </r>
  <r>
    <x v="14"/>
    <x v="4"/>
    <n v="85"/>
    <n v="0.31"/>
    <s v="classification"/>
    <s v="Based on the selected user's MealLog records, classify their eating habit by examining which meal_type entries (breakfast, lunch, dinner) appear or are missing across dates. Possible labels: regular_three_meals, skip_breakfast, skip_lunch, skip_dinner, irregular_meals. Return only the label."/>
    <n v="3.5"/>
  </r>
  <r>
    <x v="14"/>
    <x v="4"/>
    <n v="57"/>
    <n v="0.26"/>
    <s v="classification"/>
    <s v="Based on the selected user's MealLog records, classify their food preference by examining the meal_name entries. Possible labels: asian_only, western_only, salad_heavy, mixed. Return only the label."/>
    <n v="4"/>
  </r>
  <r>
    <x v="14"/>
    <x v="4"/>
    <n v="62"/>
    <n v="0.26"/>
    <s v="classification"/>
    <s v="Based on the selected user's MealLog records, classify their app engagement level by counting meals logged per day and the number of distinct dates. Possible labels: low_engagement, moderate_engagement, high_engagement. Return only the label."/>
    <n v="4.5"/>
  </r>
  <r>
    <x v="14"/>
    <x v="4"/>
    <n v="132"/>
    <n v="2.3199999999999998"/>
    <s v="prediction"/>
    <s v="Based on the selected user's WeightLog history, BodyFatLog history, and UserProfile (goal, activity_level), predict their weight trend over the next 30 days. Return a short prediction with expected direction and estimated change."/>
    <n v="3.3333333333333335"/>
  </r>
  <r>
    <x v="14"/>
    <x v="4"/>
    <n v="146"/>
    <n v="2.37"/>
    <s v="prediction"/>
    <s v="Based on the selected user's MealLog (calories, protein_g, carbs_g, fat_g per meal) and UserProfile (goal, activity_level), predict whether their current intake pattern will support their goal over the next 30 days. Return a short prediction."/>
    <n v="3"/>
  </r>
  <r>
    <x v="14"/>
    <x v="4"/>
    <n v="108"/>
    <n v="1.67"/>
    <s v="prediction"/>
    <s v="Based on the selected user's MealLog records, predict whether this user is likely to continue logging meals next week, based on the frequency and recency of their entries. Return: likely or unlikely, with a one-line reason."/>
    <n v="3.6666666666666665"/>
  </r>
  <r>
    <x v="14"/>
    <x v="4"/>
    <n v="141"/>
    <n v="2.14"/>
    <s v="prediction"/>
    <s v="Based on the selected user's WeightLog trend, BodyFatLog trend, and UserProfile (goal, activity_level), predict whether they are at risk of not achieving their fitness goal. Return: at_risk or on_track, with a one-line reason."/>
    <n v="3.6666666666666665"/>
  </r>
  <r>
    <x v="14"/>
    <x v="4"/>
    <n v="146"/>
    <n v="2.72"/>
    <s v="prediction"/>
    <s v="Based on the selected user's MealLog records, predict whether their eating habit is likely to change in the next month, based on patterns in meal_type and meal_name. Return a short prediction."/>
    <n v="3.6666666666666665"/>
  </r>
  <r>
    <x v="14"/>
    <x v="4"/>
    <n v="102"/>
    <n v="1.87"/>
    <s v="structured_extraction"/>
    <s v="From the selected user's UserNote, extract structured information about their eating preferences. Return as key-value pairs."/>
    <n v="3"/>
  </r>
  <r>
    <x v="14"/>
    <x v="4"/>
    <n v="69"/>
    <n v="1"/>
    <s v="structured_extraction"/>
    <s v="From the selected user's UserNote, extract structured information about their activity level and exercise habits. Return as key-value pairs."/>
    <n v="2.6666666666666665"/>
  </r>
  <r>
    <x v="14"/>
    <x v="4"/>
    <n v="68"/>
    <n v="0.82"/>
    <s v="structured_extraction"/>
    <s v="From the selected user's UserNote, extract structured information about their fitness goal, including target amount and timeline if mentioned. Return as key-value pairs."/>
    <n v="3"/>
  </r>
  <r>
    <x v="14"/>
    <x v="4"/>
    <n v="40"/>
    <n v="0.4"/>
    <s v="structured_extraction"/>
    <s v="From the selected user's UserNote, extract any dietary restrictions mentioned. Return as key-value pairs."/>
    <n v="4"/>
  </r>
  <r>
    <x v="14"/>
    <x v="4"/>
    <n v="78"/>
    <n v="1.2"/>
    <s v="structured_extraction"/>
    <s v="From the selected user's UserNote, extract body condition information that may affect their exercise or diet plan. Return as key-value pairs."/>
    <n v="4"/>
  </r>
  <r>
    <x v="14"/>
    <x v="4"/>
    <n v="141"/>
    <n v="2.72"/>
    <s v="summarization"/>
    <s v="Based on the selected user's MealLog records, summarize their overall eating behavior in one sentence, covering meal timing, calorie intake, and nutritional balance."/>
    <n v="4"/>
  </r>
  <r>
    <x v="14"/>
    <x v="4"/>
    <n v="125"/>
    <n v="2.0099999999999998"/>
    <s v="summarization"/>
    <s v="Based on the selected user's UserProfile (weight_kg, height_cm, body_fat_pct, activity_level, goal), provide a one-line summary of whether their stated goal is realistic given their current body metrics."/>
    <n v="4"/>
  </r>
  <r>
    <x v="14"/>
    <x v="4"/>
    <n v="144"/>
    <n v="2.72"/>
    <s v="summarization"/>
    <s v="Based on the selected user's MealLog records, summarize their diet pattern in one sentence, focusing on meal frequency, meal types, and any noticeable nutritional trends."/>
    <n v="3.25"/>
  </r>
  <r>
    <x v="14"/>
    <x v="4"/>
    <n v="128"/>
    <n v="2.61"/>
    <s v="summarization"/>
    <s v="Based on the selected user's MealLog records and BodyFatLog history, summarize their level of progress and consistency in one sentence."/>
    <n v="3"/>
  </r>
  <r>
    <x v="14"/>
    <x v="4"/>
    <n v="82"/>
    <n v="1.1200000000000001"/>
    <s v="summarization"/>
    <s v="Based on the selected user's WeightLog history, BodyFatLog history, and UserProfile (goal, activity_level), summarize their overall progress toward their fitness goal in one sentence."/>
    <n v="3.75"/>
  </r>
  <r>
    <x v="14"/>
    <x v="4"/>
    <n v="32"/>
    <n v="0.3"/>
    <s v="text_generation"/>
    <s v="Generate a personalised good morning greeting for a user who is on a fat loss goal."/>
    <n v="3"/>
  </r>
  <r>
    <x v="14"/>
    <x v="4"/>
    <n v="129"/>
    <n v="2.48"/>
    <s v="text_generation"/>
    <s v="Generate a short motivational message for a user who has been consistently logging meals but has not seen weight change in 2 weeks."/>
    <n v="3"/>
  </r>
  <r>
    <x v="14"/>
    <x v="4"/>
    <n v="119"/>
    <n v="2.48"/>
    <s v="text_generation"/>
    <s v="Generate one practical healthy eating tip suitable for a university student with a busy schedule."/>
    <n v="3.5"/>
  </r>
  <r>
    <x v="14"/>
    <x v="4"/>
    <n v="86"/>
    <n v="1.56"/>
    <s v="text_generation"/>
    <s v="Generate a short reminder message for a user who has not logged any meals in the past 3 days."/>
    <n v="3.25"/>
  </r>
  <r>
    <x v="14"/>
    <x v="4"/>
    <n v="108"/>
    <n v="2.23"/>
    <s v="text_generation"/>
    <s v="Generate one follow-up question to better understand why a user keeps skipping breakfast.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777A3-3AAC-0349-B4B0-01AC82EB7F9B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7"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elf-Evaluation Score (1–10)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F59F0-5BD2-0B42-AE79-7DCD60B1F303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7">
    <pivotField axis="axisRow" showAll="0">
      <items count="16">
        <item x="12"/>
        <item x="2"/>
        <item x="9"/>
        <item x="1"/>
        <item x="14"/>
        <item x="5"/>
        <item x="7"/>
        <item x="10"/>
        <item x="0"/>
        <item x="6"/>
        <item x="4"/>
        <item x="8"/>
        <item x="11"/>
        <item x="3"/>
        <item x="13"/>
        <item t="default"/>
      </items>
    </pivotField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1"/>
    <field x="0"/>
  </rowFields>
  <rowItems count="21">
    <i>
      <x/>
    </i>
    <i r="1">
      <x/>
    </i>
    <i r="1">
      <x v="4"/>
    </i>
    <i r="1">
      <x v="14"/>
    </i>
    <i>
      <x v="1"/>
    </i>
    <i r="1">
      <x v="2"/>
    </i>
    <i r="1">
      <x v="7"/>
    </i>
    <i r="1">
      <x v="12"/>
    </i>
    <i>
      <x v="2"/>
    </i>
    <i r="1">
      <x v="6"/>
    </i>
    <i r="1">
      <x v="9"/>
    </i>
    <i r="1">
      <x v="11"/>
    </i>
    <i>
      <x v="3"/>
    </i>
    <i r="1">
      <x v="5"/>
    </i>
    <i r="1">
      <x v="10"/>
    </i>
    <i r="1">
      <x v="13"/>
    </i>
    <i>
      <x v="4"/>
    </i>
    <i r="1">
      <x v="1"/>
    </i>
    <i r="1">
      <x v="3"/>
    </i>
    <i r="1">
      <x v="8"/>
    </i>
    <i t="grand">
      <x/>
    </i>
  </rowItems>
  <colItems count="1">
    <i/>
  </colItems>
  <dataFields count="1">
    <dataField name="Average of Self-Evaluation Score (1–10)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7AD05-0866-EB4C-B681-80DC586608EA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9" firstHeaderRow="0" firstDataRow="1" firstDataCol="1"/>
  <pivotFields count="7">
    <pivotField axis="axisRow" showAll="0">
      <items count="16">
        <item x="12"/>
        <item x="2"/>
        <item x="9"/>
        <item x="1"/>
        <item x="14"/>
        <item x="5"/>
        <item x="7"/>
        <item x="10"/>
        <item x="0"/>
        <item x="6"/>
        <item x="4"/>
        <item x="8"/>
        <item x="11"/>
        <item x="3"/>
        <item x="13"/>
        <item t="default"/>
      </items>
    </pivotField>
    <pivotField showAll="0"/>
    <pivotField dataField="1" showAll="0"/>
    <pivotField dataField="1" showAll="0"/>
    <pivotField showAll="0"/>
    <pivotField showAll="0"/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elf-Evaluation Score (1–10)" fld="6" subtotal="average" baseField="0" baseItem="0"/>
    <dataField name="Average of Tokens/sec" fld="2" subtotal="average" baseField="0" baseItem="0"/>
    <dataField name="Average of Latency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57DE-67E0-3F47-A6A5-78997BD24973}">
  <dimension ref="A1:B10"/>
  <sheetViews>
    <sheetView tabSelected="1" workbookViewId="0">
      <selection activeCell="A7" sqref="A7"/>
    </sheetView>
  </sheetViews>
  <sheetFormatPr baseColWidth="10" defaultRowHeight="16" x14ac:dyDescent="0.2"/>
  <cols>
    <col min="1" max="1" width="19.1640625" bestFit="1" customWidth="1"/>
    <col min="2" max="2" width="67.1640625" bestFit="1" customWidth="1"/>
  </cols>
  <sheetData>
    <row r="1" spans="1:2" ht="20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65</v>
      </c>
      <c r="B7" t="s">
        <v>66</v>
      </c>
    </row>
    <row r="8" spans="1:2" x14ac:dyDescent="0.2">
      <c r="A8" t="s">
        <v>67</v>
      </c>
      <c r="B8" t="s">
        <v>68</v>
      </c>
    </row>
    <row r="10" spans="1:2" ht="20" x14ac:dyDescent="0.2">
      <c r="A10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6FFA-9220-EF43-B28E-570C17736B20}">
  <dimension ref="A3:B9"/>
  <sheetViews>
    <sheetView workbookViewId="0">
      <selection activeCell="B38" sqref="B38"/>
    </sheetView>
  </sheetViews>
  <sheetFormatPr baseColWidth="10" defaultRowHeight="16" x14ac:dyDescent="0.2"/>
  <cols>
    <col min="1" max="1" width="16.6640625" bestFit="1" customWidth="1"/>
    <col min="2" max="2" width="34" bestFit="1" customWidth="1"/>
  </cols>
  <sheetData>
    <row r="3" spans="1:2" x14ac:dyDescent="0.2">
      <c r="A3" s="3" t="s">
        <v>75</v>
      </c>
      <c r="B3" t="s">
        <v>77</v>
      </c>
    </row>
    <row r="4" spans="1:2" x14ac:dyDescent="0.2">
      <c r="A4" s="4" t="s">
        <v>74</v>
      </c>
      <c r="B4" s="5">
        <v>3.282</v>
      </c>
    </row>
    <row r="5" spans="1:2" x14ac:dyDescent="0.2">
      <c r="A5" s="4" t="s">
        <v>73</v>
      </c>
      <c r="B5" s="5">
        <v>3.230666666666667</v>
      </c>
    </row>
    <row r="6" spans="1:2" x14ac:dyDescent="0.2">
      <c r="A6" s="4" t="s">
        <v>72</v>
      </c>
      <c r="B6" s="5">
        <v>3.1722222222222216</v>
      </c>
    </row>
    <row r="7" spans="1:2" x14ac:dyDescent="0.2">
      <c r="A7" s="4" t="s">
        <v>71</v>
      </c>
      <c r="B7" s="5">
        <v>2.8113333333333332</v>
      </c>
    </row>
    <row r="8" spans="1:2" x14ac:dyDescent="0.2">
      <c r="A8" s="4" t="s">
        <v>70</v>
      </c>
      <c r="B8" s="5">
        <v>1.9126666666666665</v>
      </c>
    </row>
    <row r="9" spans="1:2" x14ac:dyDescent="0.2">
      <c r="A9" s="4" t="s">
        <v>76</v>
      </c>
      <c r="B9" s="5">
        <v>2.881777777777776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04C0-287C-A24A-A573-9B93D3528C4B}">
  <dimension ref="A3:B24"/>
  <sheetViews>
    <sheetView workbookViewId="0">
      <selection activeCell="A5" sqref="A5"/>
    </sheetView>
  </sheetViews>
  <sheetFormatPr baseColWidth="10" defaultRowHeight="16" x14ac:dyDescent="0.2"/>
  <cols>
    <col min="1" max="1" width="44" bestFit="1" customWidth="1"/>
    <col min="2" max="2" width="34" bestFit="1" customWidth="1"/>
  </cols>
  <sheetData>
    <row r="3" spans="1:2" x14ac:dyDescent="0.2">
      <c r="A3" s="3" t="s">
        <v>75</v>
      </c>
      <c r="B3" t="s">
        <v>77</v>
      </c>
    </row>
    <row r="4" spans="1:2" x14ac:dyDescent="0.2">
      <c r="A4" s="4" t="s">
        <v>74</v>
      </c>
      <c r="B4" s="5">
        <v>3.2819999999999996</v>
      </c>
    </row>
    <row r="5" spans="1:2" x14ac:dyDescent="0.2">
      <c r="A5" s="6" t="s">
        <v>32</v>
      </c>
      <c r="B5" s="5">
        <v>2.9293333333333336</v>
      </c>
    </row>
    <row r="6" spans="1:2" x14ac:dyDescent="0.2">
      <c r="A6" s="6" t="s">
        <v>34</v>
      </c>
      <c r="B6" s="5">
        <v>3.47</v>
      </c>
    </row>
    <row r="7" spans="1:2" x14ac:dyDescent="0.2">
      <c r="A7" s="6" t="s">
        <v>33</v>
      </c>
      <c r="B7" s="5">
        <v>3.4466666666666663</v>
      </c>
    </row>
    <row r="8" spans="1:2" x14ac:dyDescent="0.2">
      <c r="A8" s="4" t="s">
        <v>73</v>
      </c>
      <c r="B8" s="5">
        <v>3.230666666666667</v>
      </c>
    </row>
    <row r="9" spans="1:2" x14ac:dyDescent="0.2">
      <c r="A9" s="6" t="s">
        <v>29</v>
      </c>
      <c r="B9" s="5">
        <v>3.2166666666666663</v>
      </c>
    </row>
    <row r="10" spans="1:2" x14ac:dyDescent="0.2">
      <c r="A10" s="6" t="s">
        <v>30</v>
      </c>
      <c r="B10" s="5">
        <v>3.4386666666666668</v>
      </c>
    </row>
    <row r="11" spans="1:2" x14ac:dyDescent="0.2">
      <c r="A11" s="6" t="s">
        <v>31</v>
      </c>
      <c r="B11" s="5">
        <v>3.0366666666666671</v>
      </c>
    </row>
    <row r="12" spans="1:2" x14ac:dyDescent="0.2">
      <c r="A12" s="4" t="s">
        <v>72</v>
      </c>
      <c r="B12" s="5">
        <v>3.1722222222222216</v>
      </c>
    </row>
    <row r="13" spans="1:2" x14ac:dyDescent="0.2">
      <c r="A13" s="6" t="s">
        <v>27</v>
      </c>
      <c r="B13" s="5">
        <v>3.1566666666666663</v>
      </c>
    </row>
    <row r="14" spans="1:2" x14ac:dyDescent="0.2">
      <c r="A14" s="6" t="s">
        <v>26</v>
      </c>
      <c r="B14" s="5">
        <v>2.8966666666666665</v>
      </c>
    </row>
    <row r="15" spans="1:2" x14ac:dyDescent="0.2">
      <c r="A15" s="6" t="s">
        <v>28</v>
      </c>
      <c r="B15" s="5">
        <v>3.4633333333333338</v>
      </c>
    </row>
    <row r="16" spans="1:2" x14ac:dyDescent="0.2">
      <c r="A16" s="4" t="s">
        <v>71</v>
      </c>
      <c r="B16" s="5">
        <v>2.8113333333333341</v>
      </c>
    </row>
    <row r="17" spans="1:2" x14ac:dyDescent="0.2">
      <c r="A17" s="6" t="s">
        <v>25</v>
      </c>
      <c r="B17" s="5">
        <v>2.6773333333333333</v>
      </c>
    </row>
    <row r="18" spans="1:2" x14ac:dyDescent="0.2">
      <c r="A18" s="6" t="s">
        <v>24</v>
      </c>
      <c r="B18" s="5">
        <v>3.2566666666666664</v>
      </c>
    </row>
    <row r="19" spans="1:2" x14ac:dyDescent="0.2">
      <c r="A19" s="6" t="s">
        <v>23</v>
      </c>
      <c r="B19" s="5">
        <v>2.5</v>
      </c>
    </row>
    <row r="20" spans="1:2" x14ac:dyDescent="0.2">
      <c r="A20" s="4" t="s">
        <v>70</v>
      </c>
      <c r="B20" s="5">
        <v>1.9126666666666672</v>
      </c>
    </row>
    <row r="21" spans="1:2" x14ac:dyDescent="0.2">
      <c r="A21" s="6" t="s">
        <v>22</v>
      </c>
      <c r="B21" s="5">
        <v>0.67</v>
      </c>
    </row>
    <row r="22" spans="1:2" x14ac:dyDescent="0.2">
      <c r="A22" s="6" t="s">
        <v>21</v>
      </c>
      <c r="B22" s="5">
        <v>1.9513333333333334</v>
      </c>
    </row>
    <row r="23" spans="1:2" x14ac:dyDescent="0.2">
      <c r="A23" s="6" t="s">
        <v>20</v>
      </c>
      <c r="B23" s="5">
        <v>3.1166666666666663</v>
      </c>
    </row>
    <row r="24" spans="1:2" x14ac:dyDescent="0.2">
      <c r="A24" s="4" t="s">
        <v>76</v>
      </c>
      <c r="B24" s="5">
        <v>2.8817777777777778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031C-8F9D-E442-B1D9-6392AD73B569}">
  <dimension ref="A3:L19"/>
  <sheetViews>
    <sheetView workbookViewId="0">
      <selection activeCell="F3" sqref="F3:K19"/>
    </sheetView>
  </sheetViews>
  <sheetFormatPr baseColWidth="10" defaultRowHeight="16" x14ac:dyDescent="0.2"/>
  <cols>
    <col min="1" max="1" width="40.83203125" bestFit="1" customWidth="1"/>
    <col min="2" max="2" width="34" bestFit="1" customWidth="1"/>
    <col min="3" max="3" width="19.83203125" bestFit="1" customWidth="1"/>
    <col min="4" max="4" width="16.83203125" bestFit="1" customWidth="1"/>
  </cols>
  <sheetData>
    <row r="3" spans="1:12" x14ac:dyDescent="0.2">
      <c r="A3" s="3" t="s">
        <v>75</v>
      </c>
      <c r="B3" t="s">
        <v>77</v>
      </c>
      <c r="C3" t="s">
        <v>78</v>
      </c>
      <c r="D3" t="s">
        <v>79</v>
      </c>
      <c r="L3" t="s">
        <v>82</v>
      </c>
    </row>
    <row r="4" spans="1:12" x14ac:dyDescent="0.2">
      <c r="A4" s="4" t="s">
        <v>32</v>
      </c>
      <c r="B4" s="5">
        <v>2.9293333333333336</v>
      </c>
      <c r="C4" s="5">
        <v>136.56</v>
      </c>
      <c r="D4" s="5">
        <v>3.4164000000000003</v>
      </c>
    </row>
    <row r="5" spans="1:12" x14ac:dyDescent="0.2">
      <c r="A5" s="4" t="s">
        <v>22</v>
      </c>
      <c r="B5" s="5">
        <v>0.67</v>
      </c>
      <c r="C5" s="5">
        <v>135.04</v>
      </c>
      <c r="D5" s="5">
        <v>0.96039999999999992</v>
      </c>
    </row>
    <row r="6" spans="1:12" x14ac:dyDescent="0.2">
      <c r="A6" s="4" t="s">
        <v>29</v>
      </c>
      <c r="B6" s="5">
        <v>3.2166666666666663</v>
      </c>
      <c r="C6" s="5">
        <v>117.52</v>
      </c>
      <c r="D6" s="5">
        <v>2.0840000000000005</v>
      </c>
    </row>
    <row r="7" spans="1:12" x14ac:dyDescent="0.2">
      <c r="A7" s="4" t="s">
        <v>21</v>
      </c>
      <c r="B7" s="5">
        <v>1.9513333333333334</v>
      </c>
      <c r="C7" s="5">
        <v>92.56</v>
      </c>
      <c r="D7" s="5">
        <v>1.3228</v>
      </c>
    </row>
    <row r="8" spans="1:12" x14ac:dyDescent="0.2">
      <c r="A8" s="4" t="s">
        <v>34</v>
      </c>
      <c r="B8" s="5">
        <v>3.47</v>
      </c>
      <c r="C8" s="5">
        <v>98.16</v>
      </c>
      <c r="D8" s="5">
        <v>1.5231999999999999</v>
      </c>
    </row>
    <row r="9" spans="1:12" x14ac:dyDescent="0.2">
      <c r="A9" s="4" t="s">
        <v>25</v>
      </c>
      <c r="B9" s="5">
        <v>2.6773333333333333</v>
      </c>
      <c r="C9" s="5">
        <v>124.28</v>
      </c>
      <c r="D9" s="5">
        <v>1.4039999999999997</v>
      </c>
    </row>
    <row r="10" spans="1:12" x14ac:dyDescent="0.2">
      <c r="A10" s="4" t="s">
        <v>27</v>
      </c>
      <c r="B10" s="5">
        <v>3.1566666666666663</v>
      </c>
      <c r="C10" s="5">
        <v>140.76</v>
      </c>
      <c r="D10" s="5">
        <v>1.7576000000000003</v>
      </c>
    </row>
    <row r="11" spans="1:12" x14ac:dyDescent="0.2">
      <c r="A11" s="4" t="s">
        <v>30</v>
      </c>
      <c r="B11" s="5">
        <v>3.4386666666666668</v>
      </c>
      <c r="C11" s="5">
        <v>105.24</v>
      </c>
      <c r="D11" s="5">
        <v>1.7592000000000001</v>
      </c>
    </row>
    <row r="12" spans="1:12" x14ac:dyDescent="0.2">
      <c r="A12" s="4" t="s">
        <v>20</v>
      </c>
      <c r="B12" s="5">
        <v>3.1166666666666663</v>
      </c>
      <c r="C12" s="5">
        <v>130.80000000000001</v>
      </c>
      <c r="D12" s="5">
        <v>1.8271999999999999</v>
      </c>
    </row>
    <row r="13" spans="1:12" x14ac:dyDescent="0.2">
      <c r="A13" s="4" t="s">
        <v>26</v>
      </c>
      <c r="B13" s="5">
        <v>2.8966666666666665</v>
      </c>
      <c r="C13" s="5">
        <v>134.36000000000001</v>
      </c>
      <c r="D13" s="5">
        <v>1.9556</v>
      </c>
    </row>
    <row r="14" spans="1:12" x14ac:dyDescent="0.2">
      <c r="A14" s="4" t="s">
        <v>24</v>
      </c>
      <c r="B14" s="5">
        <v>3.2566666666666664</v>
      </c>
      <c r="C14" s="5">
        <v>93.76</v>
      </c>
      <c r="D14" s="5">
        <v>0.63319999999999976</v>
      </c>
    </row>
    <row r="15" spans="1:12" x14ac:dyDescent="0.2">
      <c r="A15" s="4" t="s">
        <v>28</v>
      </c>
      <c r="B15" s="5">
        <v>3.4633333333333338</v>
      </c>
      <c r="C15" s="5">
        <v>99.68</v>
      </c>
      <c r="D15" s="5">
        <v>0.8660000000000001</v>
      </c>
    </row>
    <row r="16" spans="1:12" x14ac:dyDescent="0.2">
      <c r="A16" s="4" t="s">
        <v>31</v>
      </c>
      <c r="B16" s="5">
        <v>3.0366666666666671</v>
      </c>
      <c r="C16" s="5">
        <v>97.88</v>
      </c>
      <c r="D16" s="5">
        <v>2.298</v>
      </c>
    </row>
    <row r="17" spans="1:4" x14ac:dyDescent="0.2">
      <c r="A17" s="4" t="s">
        <v>23</v>
      </c>
      <c r="B17" s="5">
        <v>2.5</v>
      </c>
      <c r="C17" s="5">
        <v>112.8</v>
      </c>
      <c r="D17" s="5">
        <v>0.7964</v>
      </c>
    </row>
    <row r="18" spans="1:4" x14ac:dyDescent="0.2">
      <c r="A18" s="4" t="s">
        <v>33</v>
      </c>
      <c r="B18" s="5">
        <v>3.4466666666666663</v>
      </c>
      <c r="C18" s="5">
        <v>98.76</v>
      </c>
      <c r="D18" s="5">
        <v>9.1376000000000008</v>
      </c>
    </row>
    <row r="19" spans="1:4" x14ac:dyDescent="0.2">
      <c r="A19" s="4" t="s">
        <v>76</v>
      </c>
      <c r="B19" s="5">
        <v>2.8817777777777773</v>
      </c>
      <c r="C19" s="5">
        <v>114.544</v>
      </c>
      <c r="D19" s="5">
        <v>2.116106666666667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D650-93D6-AA4E-9568-E68AF9FDBE5E}">
  <dimension ref="A1:H17"/>
  <sheetViews>
    <sheetView workbookViewId="0">
      <selection activeCell="A2" sqref="A2"/>
    </sheetView>
  </sheetViews>
  <sheetFormatPr baseColWidth="10" defaultRowHeight="16" x14ac:dyDescent="0.2"/>
  <sheetData>
    <row r="1" spans="1:8" x14ac:dyDescent="0.2">
      <c r="A1" t="s">
        <v>75</v>
      </c>
      <c r="B1" t="s">
        <v>77</v>
      </c>
      <c r="C1" t="s">
        <v>80</v>
      </c>
      <c r="D1" t="s">
        <v>78</v>
      </c>
      <c r="E1" t="s">
        <v>81</v>
      </c>
      <c r="F1" t="s">
        <v>79</v>
      </c>
      <c r="H1" t="s">
        <v>83</v>
      </c>
    </row>
    <row r="2" spans="1:8" x14ac:dyDescent="0.2">
      <c r="A2" t="s">
        <v>24</v>
      </c>
      <c r="B2">
        <v>3.2566666666666664</v>
      </c>
      <c r="C2">
        <v>5</v>
      </c>
      <c r="D2">
        <v>93.76</v>
      </c>
      <c r="E2">
        <v>2</v>
      </c>
      <c r="F2">
        <v>0.63319999999999976</v>
      </c>
      <c r="G2">
        <v>1</v>
      </c>
      <c r="H2">
        <f>AVERAGE(C2,E2,G2)</f>
        <v>2.6666666666666665</v>
      </c>
    </row>
    <row r="3" spans="1:8" x14ac:dyDescent="0.2">
      <c r="A3" t="s">
        <v>23</v>
      </c>
      <c r="B3">
        <v>2.5</v>
      </c>
      <c r="C3">
        <v>14</v>
      </c>
      <c r="D3">
        <v>112.8</v>
      </c>
      <c r="E3">
        <v>8</v>
      </c>
      <c r="F3">
        <v>0.7964</v>
      </c>
      <c r="G3">
        <v>2</v>
      </c>
      <c r="H3">
        <f>AVERAGE(C3,E3,G3)</f>
        <v>8</v>
      </c>
    </row>
    <row r="4" spans="1:8" x14ac:dyDescent="0.2">
      <c r="A4" t="s">
        <v>28</v>
      </c>
      <c r="B4">
        <v>3.4633333333333338</v>
      </c>
      <c r="C4">
        <v>2</v>
      </c>
      <c r="D4">
        <v>99.68</v>
      </c>
      <c r="E4">
        <v>6</v>
      </c>
      <c r="F4">
        <v>0.8660000000000001</v>
      </c>
      <c r="G4">
        <v>3</v>
      </c>
      <c r="H4">
        <f>AVERAGE(C4,E4,G4)</f>
        <v>3.6666666666666665</v>
      </c>
    </row>
    <row r="5" spans="1:8" x14ac:dyDescent="0.2">
      <c r="A5" t="s">
        <v>22</v>
      </c>
      <c r="B5">
        <v>0.67</v>
      </c>
      <c r="C5">
        <v>16</v>
      </c>
      <c r="D5">
        <v>135.04</v>
      </c>
      <c r="E5">
        <v>14</v>
      </c>
      <c r="F5">
        <v>0.96039999999999992</v>
      </c>
      <c r="G5">
        <v>4</v>
      </c>
      <c r="H5">
        <f>AVERAGE(C5,E5,G5)</f>
        <v>11.333333333333334</v>
      </c>
    </row>
    <row r="6" spans="1:8" x14ac:dyDescent="0.2">
      <c r="A6" t="s">
        <v>21</v>
      </c>
      <c r="B6">
        <v>1.9513333333333334</v>
      </c>
      <c r="C6">
        <v>15</v>
      </c>
      <c r="D6">
        <v>92.56</v>
      </c>
      <c r="E6">
        <v>1</v>
      </c>
      <c r="F6">
        <v>1.3228</v>
      </c>
      <c r="G6">
        <v>5</v>
      </c>
      <c r="H6">
        <f>AVERAGE(C6,E6,G6)</f>
        <v>7</v>
      </c>
    </row>
    <row r="7" spans="1:8" x14ac:dyDescent="0.2">
      <c r="A7" t="s">
        <v>25</v>
      </c>
      <c r="B7">
        <v>2.6773333333333333</v>
      </c>
      <c r="C7">
        <v>13</v>
      </c>
      <c r="D7">
        <v>124.28</v>
      </c>
      <c r="E7">
        <v>11</v>
      </c>
      <c r="F7">
        <v>1.4039999999999997</v>
      </c>
      <c r="G7">
        <v>6</v>
      </c>
      <c r="H7">
        <f>AVERAGE(C7,E7,G7)</f>
        <v>10</v>
      </c>
    </row>
    <row r="8" spans="1:8" x14ac:dyDescent="0.2">
      <c r="A8" t="s">
        <v>34</v>
      </c>
      <c r="B8">
        <v>3.47</v>
      </c>
      <c r="C8">
        <v>1</v>
      </c>
      <c r="D8">
        <v>98.16</v>
      </c>
      <c r="E8">
        <v>4</v>
      </c>
      <c r="F8">
        <v>1.5231999999999999</v>
      </c>
      <c r="G8">
        <v>7</v>
      </c>
      <c r="H8">
        <f>AVERAGE(C8,E8,G8)</f>
        <v>4</v>
      </c>
    </row>
    <row r="9" spans="1:8" x14ac:dyDescent="0.2">
      <c r="A9" t="s">
        <v>27</v>
      </c>
      <c r="B9">
        <v>3.1566666666666663</v>
      </c>
      <c r="C9">
        <v>7</v>
      </c>
      <c r="D9">
        <v>140.76</v>
      </c>
      <c r="E9">
        <v>16</v>
      </c>
      <c r="F9">
        <v>1.7576000000000003</v>
      </c>
      <c r="G9">
        <v>8</v>
      </c>
      <c r="H9">
        <f>AVERAGE(C9,E9,G9)</f>
        <v>10.333333333333334</v>
      </c>
    </row>
    <row r="10" spans="1:8" x14ac:dyDescent="0.2">
      <c r="A10" t="s">
        <v>30</v>
      </c>
      <c r="B10">
        <v>3.4386666666666668</v>
      </c>
      <c r="C10">
        <v>4</v>
      </c>
      <c r="D10">
        <v>105.24</v>
      </c>
      <c r="E10">
        <v>7</v>
      </c>
      <c r="F10">
        <v>1.7592000000000001</v>
      </c>
      <c r="G10">
        <v>9</v>
      </c>
      <c r="H10">
        <f>AVERAGE(C10,E10,G10)</f>
        <v>6.666666666666667</v>
      </c>
    </row>
    <row r="11" spans="1:8" x14ac:dyDescent="0.2">
      <c r="A11" t="s">
        <v>20</v>
      </c>
      <c r="B11">
        <v>3.1166666666666663</v>
      </c>
      <c r="C11">
        <v>8</v>
      </c>
      <c r="D11">
        <v>130.80000000000001</v>
      </c>
      <c r="E11">
        <v>12</v>
      </c>
      <c r="F11">
        <v>1.8271999999999999</v>
      </c>
      <c r="G11">
        <v>10</v>
      </c>
      <c r="H11">
        <f>AVERAGE(C11,E11,G11)</f>
        <v>10</v>
      </c>
    </row>
    <row r="12" spans="1:8" x14ac:dyDescent="0.2">
      <c r="A12" t="s">
        <v>26</v>
      </c>
      <c r="B12">
        <v>2.8966666666666665</v>
      </c>
      <c r="C12">
        <v>11</v>
      </c>
      <c r="D12">
        <v>134.36000000000001</v>
      </c>
      <c r="E12">
        <v>13</v>
      </c>
      <c r="F12">
        <v>1.9556</v>
      </c>
      <c r="G12">
        <v>11</v>
      </c>
      <c r="H12">
        <f>AVERAGE(C12,E12,G12)</f>
        <v>11.666666666666666</v>
      </c>
    </row>
    <row r="13" spans="1:8" x14ac:dyDescent="0.2">
      <c r="A13" t="s">
        <v>29</v>
      </c>
      <c r="B13">
        <v>3.2166666666666663</v>
      </c>
      <c r="C13">
        <v>6</v>
      </c>
      <c r="D13">
        <v>117.52</v>
      </c>
      <c r="E13">
        <v>10</v>
      </c>
      <c r="F13">
        <v>2.0840000000000005</v>
      </c>
      <c r="G13">
        <v>12</v>
      </c>
      <c r="H13">
        <f>AVERAGE(C13,E13,G13)</f>
        <v>9.3333333333333339</v>
      </c>
    </row>
    <row r="14" spans="1:8" x14ac:dyDescent="0.2">
      <c r="A14" t="s">
        <v>76</v>
      </c>
      <c r="B14">
        <v>2.8817777777777773</v>
      </c>
      <c r="C14">
        <v>12</v>
      </c>
      <c r="D14">
        <v>114.544</v>
      </c>
      <c r="E14">
        <v>9</v>
      </c>
      <c r="F14">
        <v>2.116106666666667</v>
      </c>
      <c r="G14">
        <v>13</v>
      </c>
      <c r="H14">
        <f>AVERAGE(C14,E14,G14)</f>
        <v>11.333333333333334</v>
      </c>
    </row>
    <row r="15" spans="1:8" x14ac:dyDescent="0.2">
      <c r="A15" t="s">
        <v>31</v>
      </c>
      <c r="B15">
        <v>3.0366666666666671</v>
      </c>
      <c r="C15">
        <v>9</v>
      </c>
      <c r="D15">
        <v>97.88</v>
      </c>
      <c r="E15">
        <v>3</v>
      </c>
      <c r="F15">
        <v>2.298</v>
      </c>
      <c r="G15">
        <v>14</v>
      </c>
      <c r="H15">
        <f>AVERAGE(C15,E15,G15)</f>
        <v>8.6666666666666661</v>
      </c>
    </row>
    <row r="16" spans="1:8" x14ac:dyDescent="0.2">
      <c r="A16" t="s">
        <v>32</v>
      </c>
      <c r="B16">
        <v>2.9293333333333336</v>
      </c>
      <c r="C16">
        <v>10</v>
      </c>
      <c r="D16">
        <v>136.56</v>
      </c>
      <c r="E16">
        <v>15</v>
      </c>
      <c r="F16">
        <v>3.4164000000000003</v>
      </c>
      <c r="G16">
        <v>15</v>
      </c>
      <c r="H16">
        <f>AVERAGE(C16,E16,G16)</f>
        <v>13.333333333333334</v>
      </c>
    </row>
    <row r="17" spans="1:8" x14ac:dyDescent="0.2">
      <c r="A17" t="s">
        <v>33</v>
      </c>
      <c r="B17">
        <v>3.4466666666666663</v>
      </c>
      <c r="C17">
        <v>3</v>
      </c>
      <c r="D17">
        <v>98.76</v>
      </c>
      <c r="E17">
        <v>5</v>
      </c>
      <c r="F17">
        <v>9.1376000000000008</v>
      </c>
      <c r="G17">
        <v>16</v>
      </c>
      <c r="H17">
        <f>AVERAGE(C17,E17,G17)</f>
        <v>8</v>
      </c>
    </row>
  </sheetData>
  <sortState xmlns:xlrd2="http://schemas.microsoft.com/office/spreadsheetml/2017/richdata2" ref="A2:F17">
    <sortCondition ref="F2:F1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0A21-A5E5-C849-A6A5-197804257504}">
  <dimension ref="A1:P376"/>
  <sheetViews>
    <sheetView workbookViewId="0">
      <selection activeCell="B1" sqref="B1:H376"/>
    </sheetView>
  </sheetViews>
  <sheetFormatPr baseColWidth="10" defaultRowHeight="16" x14ac:dyDescent="0.2"/>
  <cols>
    <col min="1" max="1" width="18" customWidth="1"/>
    <col min="2" max="2" width="9.1640625" bestFit="1" customWidth="1"/>
    <col min="3" max="3" width="21.83203125" bestFit="1" customWidth="1"/>
    <col min="4" max="4" width="16.1640625" bestFit="1" customWidth="1"/>
    <col min="5" max="5" width="11.6640625" bestFit="1" customWidth="1"/>
    <col min="6" max="6" width="18" bestFit="1" customWidth="1"/>
    <col min="7" max="7" width="10.83203125" customWidth="1"/>
    <col min="9" max="9" width="38.1640625" customWidth="1"/>
  </cols>
  <sheetData>
    <row r="1" spans="1:16" ht="20" x14ac:dyDescent="0.2">
      <c r="A1" s="1"/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18</v>
      </c>
      <c r="J1" t="s">
        <v>2</v>
      </c>
      <c r="K1" t="s">
        <v>4</v>
      </c>
      <c r="L1" t="s">
        <v>6</v>
      </c>
      <c r="M1" t="s">
        <v>8</v>
      </c>
      <c r="N1" t="s">
        <v>65</v>
      </c>
      <c r="O1" t="s">
        <v>67</v>
      </c>
      <c r="P1" t="s">
        <v>10</v>
      </c>
    </row>
    <row r="2" spans="1:16" x14ac:dyDescent="0.2">
      <c r="A2" s="2">
        <v>1</v>
      </c>
      <c r="B2" s="2" t="s">
        <v>20</v>
      </c>
      <c r="C2" t="s">
        <v>70</v>
      </c>
      <c r="D2" s="2">
        <v>133</v>
      </c>
      <c r="E2" s="2">
        <v>2.0699999999999998</v>
      </c>
      <c r="F2" s="2" t="s">
        <v>35</v>
      </c>
      <c r="G2" s="2" t="s">
        <v>40</v>
      </c>
      <c r="H2" s="2">
        <v>3.1666666666666665</v>
      </c>
      <c r="I2">
        <f t="shared" ref="I2:I10" si="0">AVERAGE(J2:P2)</f>
        <v>3.1666666666666665</v>
      </c>
      <c r="J2">
        <v>3</v>
      </c>
      <c r="K2">
        <v>1</v>
      </c>
      <c r="L2">
        <v>4</v>
      </c>
      <c r="M2">
        <v>5</v>
      </c>
      <c r="N2">
        <v>3</v>
      </c>
      <c r="O2">
        <v>3</v>
      </c>
    </row>
    <row r="3" spans="1:16" x14ac:dyDescent="0.2">
      <c r="A3" s="2">
        <v>2</v>
      </c>
      <c r="B3" s="2" t="s">
        <v>20</v>
      </c>
      <c r="C3" t="s">
        <v>70</v>
      </c>
      <c r="D3" s="2">
        <v>149</v>
      </c>
      <c r="E3" s="2">
        <v>1.88</v>
      </c>
      <c r="F3" s="2" t="s">
        <v>35</v>
      </c>
      <c r="G3" s="2" t="s">
        <v>41</v>
      </c>
      <c r="H3" s="2">
        <v>3.6666666666666665</v>
      </c>
      <c r="I3">
        <f t="shared" si="0"/>
        <v>3.6666666666666665</v>
      </c>
      <c r="J3">
        <v>4</v>
      </c>
      <c r="K3">
        <v>3</v>
      </c>
      <c r="L3">
        <v>4</v>
      </c>
      <c r="M3">
        <v>4</v>
      </c>
      <c r="N3">
        <v>4</v>
      </c>
      <c r="O3">
        <v>3</v>
      </c>
    </row>
    <row r="4" spans="1:16" x14ac:dyDescent="0.2">
      <c r="A4" s="2">
        <v>3</v>
      </c>
      <c r="B4" s="2" t="s">
        <v>20</v>
      </c>
      <c r="C4" t="s">
        <v>70</v>
      </c>
      <c r="D4" s="2">
        <v>164</v>
      </c>
      <c r="E4" s="2">
        <v>1.88</v>
      </c>
      <c r="F4" s="2" t="s">
        <v>35</v>
      </c>
      <c r="G4" s="2" t="s">
        <v>42</v>
      </c>
      <c r="H4" s="2">
        <v>3.5</v>
      </c>
      <c r="I4">
        <f t="shared" si="0"/>
        <v>3.5</v>
      </c>
      <c r="J4">
        <v>4</v>
      </c>
      <c r="K4">
        <v>1</v>
      </c>
      <c r="L4">
        <v>4</v>
      </c>
      <c r="M4">
        <v>4</v>
      </c>
      <c r="N4">
        <v>4</v>
      </c>
      <c r="O4">
        <v>4</v>
      </c>
    </row>
    <row r="5" spans="1:16" x14ac:dyDescent="0.2">
      <c r="A5" s="2">
        <v>4</v>
      </c>
      <c r="B5" s="2" t="s">
        <v>20</v>
      </c>
      <c r="C5" t="s">
        <v>70</v>
      </c>
      <c r="D5" s="2">
        <v>93</v>
      </c>
      <c r="E5" s="2">
        <v>1</v>
      </c>
      <c r="F5" s="2" t="s">
        <v>35</v>
      </c>
      <c r="G5" s="2" t="s">
        <v>43</v>
      </c>
      <c r="H5" s="2">
        <v>3</v>
      </c>
      <c r="I5">
        <f t="shared" si="0"/>
        <v>3</v>
      </c>
      <c r="J5">
        <v>4</v>
      </c>
      <c r="K5">
        <v>2</v>
      </c>
      <c r="L5">
        <v>4</v>
      </c>
      <c r="M5">
        <v>4</v>
      </c>
      <c r="N5">
        <v>2</v>
      </c>
      <c r="O5">
        <v>2</v>
      </c>
    </row>
    <row r="6" spans="1:16" x14ac:dyDescent="0.2">
      <c r="A6" s="2">
        <v>5</v>
      </c>
      <c r="B6" s="2" t="s">
        <v>20</v>
      </c>
      <c r="C6" t="s">
        <v>70</v>
      </c>
      <c r="D6" s="2">
        <v>147</v>
      </c>
      <c r="E6" s="2">
        <v>1.88</v>
      </c>
      <c r="F6" s="2" t="s">
        <v>35</v>
      </c>
      <c r="G6" s="2" t="s">
        <v>44</v>
      </c>
      <c r="H6" s="2">
        <v>3.1666666666666665</v>
      </c>
      <c r="I6">
        <f t="shared" si="0"/>
        <v>3.1666666666666665</v>
      </c>
      <c r="J6">
        <v>4</v>
      </c>
      <c r="K6">
        <v>3</v>
      </c>
      <c r="L6">
        <v>4</v>
      </c>
      <c r="M6">
        <v>4</v>
      </c>
      <c r="N6">
        <v>3</v>
      </c>
      <c r="O6">
        <v>1</v>
      </c>
    </row>
    <row r="7" spans="1:16" x14ac:dyDescent="0.2">
      <c r="A7" s="2">
        <v>1</v>
      </c>
      <c r="B7" s="2" t="s">
        <v>20</v>
      </c>
      <c r="C7" t="s">
        <v>70</v>
      </c>
      <c r="D7" s="2">
        <v>145</v>
      </c>
      <c r="E7" s="2">
        <v>1.88</v>
      </c>
      <c r="F7" s="2" t="s">
        <v>36</v>
      </c>
      <c r="G7" s="2" t="s">
        <v>45</v>
      </c>
      <c r="H7" s="2">
        <v>3.6666666666666665</v>
      </c>
      <c r="I7">
        <f t="shared" si="0"/>
        <v>3.6666666666666665</v>
      </c>
      <c r="J7">
        <v>4</v>
      </c>
      <c r="K7">
        <v>4</v>
      </c>
      <c r="L7">
        <v>4</v>
      </c>
      <c r="M7">
        <v>4</v>
      </c>
      <c r="N7">
        <v>3</v>
      </c>
      <c r="O7">
        <v>3</v>
      </c>
    </row>
    <row r="8" spans="1:16" x14ac:dyDescent="0.2">
      <c r="A8" s="2">
        <v>2</v>
      </c>
      <c r="B8" s="2" t="s">
        <v>20</v>
      </c>
      <c r="C8" t="s">
        <v>70</v>
      </c>
      <c r="D8" s="2">
        <v>154</v>
      </c>
      <c r="E8" s="2">
        <v>1.88</v>
      </c>
      <c r="F8" s="2" t="s">
        <v>36</v>
      </c>
      <c r="G8" s="2" t="s">
        <v>46</v>
      </c>
      <c r="H8" s="2">
        <v>2.6666666666666665</v>
      </c>
      <c r="I8">
        <f t="shared" si="0"/>
        <v>2.6666666666666665</v>
      </c>
      <c r="J8">
        <v>3</v>
      </c>
      <c r="K8">
        <v>3</v>
      </c>
      <c r="L8">
        <v>3</v>
      </c>
      <c r="M8">
        <v>3</v>
      </c>
      <c r="N8">
        <v>2</v>
      </c>
      <c r="O8">
        <v>2</v>
      </c>
    </row>
    <row r="9" spans="1:16" x14ac:dyDescent="0.2">
      <c r="A9" s="2">
        <v>3</v>
      </c>
      <c r="B9" s="2" t="s">
        <v>20</v>
      </c>
      <c r="C9" t="s">
        <v>70</v>
      </c>
      <c r="D9" s="2">
        <v>147</v>
      </c>
      <c r="E9" s="2">
        <v>1.87</v>
      </c>
      <c r="F9" s="2" t="s">
        <v>36</v>
      </c>
      <c r="G9" s="2" t="s">
        <v>47</v>
      </c>
      <c r="H9" s="2">
        <v>3.3333333333333335</v>
      </c>
      <c r="I9">
        <f t="shared" si="0"/>
        <v>3.3333333333333335</v>
      </c>
      <c r="J9">
        <v>4</v>
      </c>
      <c r="K9">
        <v>3</v>
      </c>
      <c r="L9">
        <v>4</v>
      </c>
      <c r="M9">
        <v>4</v>
      </c>
      <c r="N9">
        <v>2</v>
      </c>
      <c r="O9">
        <v>3</v>
      </c>
    </row>
    <row r="10" spans="1:16" x14ac:dyDescent="0.2">
      <c r="A10" s="2">
        <v>4</v>
      </c>
      <c r="B10" s="2" t="s">
        <v>20</v>
      </c>
      <c r="C10" t="s">
        <v>70</v>
      </c>
      <c r="D10" s="2">
        <v>150</v>
      </c>
      <c r="E10" s="2">
        <v>1.88</v>
      </c>
      <c r="F10" s="2" t="s">
        <v>36</v>
      </c>
      <c r="G10" s="2" t="s">
        <v>48</v>
      </c>
      <c r="H10" s="2">
        <v>3.6666666666666665</v>
      </c>
      <c r="I10">
        <f t="shared" si="0"/>
        <v>3.6666666666666665</v>
      </c>
      <c r="J10">
        <v>4</v>
      </c>
      <c r="K10">
        <v>4</v>
      </c>
      <c r="L10">
        <v>4</v>
      </c>
      <c r="M10">
        <v>4</v>
      </c>
      <c r="N10">
        <v>3</v>
      </c>
      <c r="O10">
        <v>3</v>
      </c>
    </row>
    <row r="11" spans="1:16" x14ac:dyDescent="0.2">
      <c r="A11" s="2">
        <v>5</v>
      </c>
      <c r="B11" s="2" t="s">
        <v>20</v>
      </c>
      <c r="C11" t="s">
        <v>70</v>
      </c>
      <c r="D11" s="2">
        <v>139</v>
      </c>
      <c r="E11" s="2">
        <v>1.88</v>
      </c>
      <c r="F11" s="2" t="s">
        <v>36</v>
      </c>
      <c r="G11" s="2" t="s">
        <v>49</v>
      </c>
      <c r="H11" s="2">
        <v>3.6666666666666665</v>
      </c>
      <c r="I11">
        <f>AVERAGE(J11:P11)</f>
        <v>3.6666666666666665</v>
      </c>
      <c r="J11">
        <v>4</v>
      </c>
      <c r="K11">
        <v>4</v>
      </c>
      <c r="L11">
        <v>4</v>
      </c>
      <c r="M11">
        <v>4</v>
      </c>
      <c r="N11">
        <v>3</v>
      </c>
      <c r="O11">
        <v>3</v>
      </c>
    </row>
    <row r="12" spans="1:16" x14ac:dyDescent="0.2">
      <c r="A12" s="2">
        <v>1</v>
      </c>
      <c r="B12" s="2" t="s">
        <v>20</v>
      </c>
      <c r="C12" t="s">
        <v>70</v>
      </c>
      <c r="D12" s="2">
        <v>120</v>
      </c>
      <c r="E12" s="2">
        <v>1.87</v>
      </c>
      <c r="F12" s="2" t="s">
        <v>37</v>
      </c>
      <c r="G12" s="2" t="s">
        <v>50</v>
      </c>
      <c r="H12" s="2">
        <v>2.6666666666666665</v>
      </c>
      <c r="I12">
        <f t="shared" ref="I12:I75" si="1">AVERAGE(J12:P12)</f>
        <v>2.6666666666666665</v>
      </c>
      <c r="J12">
        <v>2</v>
      </c>
      <c r="L12">
        <v>3</v>
      </c>
      <c r="M12">
        <v>3</v>
      </c>
    </row>
    <row r="13" spans="1:16" x14ac:dyDescent="0.2">
      <c r="A13" s="2">
        <v>2</v>
      </c>
      <c r="B13" s="2" t="s">
        <v>20</v>
      </c>
      <c r="C13" t="s">
        <v>70</v>
      </c>
      <c r="D13" s="2">
        <v>124</v>
      </c>
      <c r="E13" s="2">
        <v>1.86</v>
      </c>
      <c r="F13" s="2" t="s">
        <v>37</v>
      </c>
      <c r="G13" s="2" t="s">
        <v>51</v>
      </c>
      <c r="H13" s="2">
        <v>4</v>
      </c>
      <c r="I13">
        <f t="shared" si="1"/>
        <v>4</v>
      </c>
      <c r="J13">
        <v>4</v>
      </c>
      <c r="L13">
        <v>4</v>
      </c>
      <c r="M13">
        <v>4</v>
      </c>
    </row>
    <row r="14" spans="1:16" x14ac:dyDescent="0.2">
      <c r="A14" s="2">
        <v>3</v>
      </c>
      <c r="B14" s="2" t="s">
        <v>20</v>
      </c>
      <c r="C14" t="s">
        <v>70</v>
      </c>
      <c r="D14" s="2">
        <v>129</v>
      </c>
      <c r="E14" s="2">
        <v>1.87</v>
      </c>
      <c r="F14" s="2" t="s">
        <v>37</v>
      </c>
      <c r="G14" s="2" t="s">
        <v>52</v>
      </c>
      <c r="H14" s="2">
        <v>4</v>
      </c>
      <c r="I14">
        <f t="shared" si="1"/>
        <v>4</v>
      </c>
      <c r="J14">
        <v>4</v>
      </c>
      <c r="L14">
        <v>4</v>
      </c>
      <c r="M14">
        <v>4</v>
      </c>
    </row>
    <row r="15" spans="1:16" x14ac:dyDescent="0.2">
      <c r="A15" s="2">
        <v>4</v>
      </c>
      <c r="B15" s="2" t="s">
        <v>20</v>
      </c>
      <c r="C15" t="s">
        <v>70</v>
      </c>
      <c r="D15" s="2">
        <v>95</v>
      </c>
      <c r="E15" s="2">
        <v>1.43</v>
      </c>
      <c r="F15" s="2" t="s">
        <v>37</v>
      </c>
      <c r="G15" s="2" t="s">
        <v>53</v>
      </c>
      <c r="H15" s="2">
        <v>1</v>
      </c>
      <c r="I15">
        <f t="shared" si="1"/>
        <v>1</v>
      </c>
      <c r="J15">
        <v>0</v>
      </c>
      <c r="L15">
        <v>2</v>
      </c>
      <c r="M15">
        <v>1</v>
      </c>
    </row>
    <row r="16" spans="1:16" x14ac:dyDescent="0.2">
      <c r="A16" s="2">
        <v>5</v>
      </c>
      <c r="B16" s="2" t="s">
        <v>20</v>
      </c>
      <c r="C16" t="s">
        <v>70</v>
      </c>
      <c r="D16" s="2">
        <v>126</v>
      </c>
      <c r="E16" s="2">
        <v>1.86</v>
      </c>
      <c r="F16" s="2" t="s">
        <v>37</v>
      </c>
      <c r="G16" s="2" t="s">
        <v>54</v>
      </c>
      <c r="H16" s="2">
        <v>2</v>
      </c>
      <c r="I16">
        <f t="shared" si="1"/>
        <v>2</v>
      </c>
      <c r="J16">
        <v>1</v>
      </c>
      <c r="L16">
        <v>3</v>
      </c>
      <c r="M16">
        <v>2</v>
      </c>
    </row>
    <row r="17" spans="1:16" x14ac:dyDescent="0.2">
      <c r="A17" s="2">
        <v>1</v>
      </c>
      <c r="B17" s="2" t="s">
        <v>20</v>
      </c>
      <c r="C17" t="s">
        <v>70</v>
      </c>
      <c r="D17" s="2">
        <v>130</v>
      </c>
      <c r="E17" s="2">
        <v>1.87</v>
      </c>
      <c r="F17" s="2" t="s">
        <v>38</v>
      </c>
      <c r="G17" s="2" t="s">
        <v>55</v>
      </c>
      <c r="H17" s="2">
        <v>4</v>
      </c>
      <c r="I17">
        <f t="shared" si="1"/>
        <v>4</v>
      </c>
      <c r="J17">
        <v>4</v>
      </c>
      <c r="L17">
        <v>4</v>
      </c>
      <c r="M17">
        <v>4</v>
      </c>
      <c r="P17">
        <v>4</v>
      </c>
    </row>
    <row r="18" spans="1:16" x14ac:dyDescent="0.2">
      <c r="A18" s="2">
        <v>2</v>
      </c>
      <c r="B18" s="2" t="s">
        <v>20</v>
      </c>
      <c r="C18" t="s">
        <v>70</v>
      </c>
      <c r="D18" s="2">
        <v>143</v>
      </c>
      <c r="E18" s="2">
        <v>1.88</v>
      </c>
      <c r="F18" s="2" t="s">
        <v>38</v>
      </c>
      <c r="G18" s="2" t="s">
        <v>56</v>
      </c>
      <c r="H18" s="2">
        <v>4</v>
      </c>
      <c r="I18">
        <f t="shared" si="1"/>
        <v>4</v>
      </c>
      <c r="J18">
        <v>4</v>
      </c>
      <c r="L18">
        <v>4</v>
      </c>
      <c r="M18">
        <v>4</v>
      </c>
      <c r="P18">
        <v>4</v>
      </c>
    </row>
    <row r="19" spans="1:16" x14ac:dyDescent="0.2">
      <c r="A19" s="2">
        <v>3</v>
      </c>
      <c r="B19" s="2" t="s">
        <v>20</v>
      </c>
      <c r="C19" t="s">
        <v>70</v>
      </c>
      <c r="D19" s="2">
        <v>132</v>
      </c>
      <c r="E19" s="2">
        <v>1.88</v>
      </c>
      <c r="F19" s="2" t="s">
        <v>38</v>
      </c>
      <c r="G19" s="2" t="s">
        <v>57</v>
      </c>
      <c r="H19" s="2">
        <v>3.25</v>
      </c>
      <c r="I19">
        <f t="shared" si="1"/>
        <v>3.25</v>
      </c>
      <c r="J19">
        <v>3</v>
      </c>
      <c r="L19">
        <v>3</v>
      </c>
      <c r="M19">
        <v>3</v>
      </c>
      <c r="P19">
        <v>4</v>
      </c>
    </row>
    <row r="20" spans="1:16" x14ac:dyDescent="0.2">
      <c r="A20" s="2">
        <v>4</v>
      </c>
      <c r="B20" s="2" t="s">
        <v>20</v>
      </c>
      <c r="C20" t="s">
        <v>70</v>
      </c>
      <c r="D20" s="2">
        <v>126</v>
      </c>
      <c r="E20" s="2">
        <v>1.88</v>
      </c>
      <c r="F20" s="2" t="s">
        <v>38</v>
      </c>
      <c r="G20" s="2" t="s">
        <v>58</v>
      </c>
      <c r="H20" s="2">
        <v>3.75</v>
      </c>
      <c r="I20">
        <f t="shared" si="1"/>
        <v>3.75</v>
      </c>
      <c r="J20">
        <v>4</v>
      </c>
      <c r="L20">
        <v>4</v>
      </c>
      <c r="M20">
        <v>4</v>
      </c>
      <c r="P20">
        <v>3</v>
      </c>
    </row>
    <row r="21" spans="1:16" x14ac:dyDescent="0.2">
      <c r="A21" s="2">
        <v>5</v>
      </c>
      <c r="B21" s="2" t="s">
        <v>20</v>
      </c>
      <c r="C21" t="s">
        <v>70</v>
      </c>
      <c r="D21" s="2">
        <v>135</v>
      </c>
      <c r="E21" s="2">
        <v>1.88</v>
      </c>
      <c r="F21" s="2" t="s">
        <v>38</v>
      </c>
      <c r="G21" s="2" t="s">
        <v>59</v>
      </c>
      <c r="H21" s="2">
        <v>3</v>
      </c>
      <c r="I21">
        <f t="shared" si="1"/>
        <v>3</v>
      </c>
      <c r="J21">
        <v>3</v>
      </c>
      <c r="L21">
        <v>3</v>
      </c>
      <c r="M21">
        <v>3</v>
      </c>
      <c r="P21">
        <v>3</v>
      </c>
    </row>
    <row r="22" spans="1:16" x14ac:dyDescent="0.2">
      <c r="A22" s="2">
        <v>1</v>
      </c>
      <c r="B22" s="2" t="s">
        <v>20</v>
      </c>
      <c r="C22" t="s">
        <v>70</v>
      </c>
      <c r="D22" s="2">
        <v>116</v>
      </c>
      <c r="E22" s="2">
        <v>1.87</v>
      </c>
      <c r="F22" s="2" t="s">
        <v>39</v>
      </c>
      <c r="G22" s="2" t="s">
        <v>60</v>
      </c>
      <c r="H22" s="2">
        <v>2</v>
      </c>
      <c r="I22">
        <f t="shared" si="1"/>
        <v>2</v>
      </c>
      <c r="J22">
        <v>2</v>
      </c>
      <c r="L22">
        <v>2</v>
      </c>
      <c r="M22">
        <v>2</v>
      </c>
      <c r="P22">
        <v>2</v>
      </c>
    </row>
    <row r="23" spans="1:16" x14ac:dyDescent="0.2">
      <c r="A23" s="2">
        <v>2</v>
      </c>
      <c r="B23" s="2" t="s">
        <v>20</v>
      </c>
      <c r="C23" t="s">
        <v>70</v>
      </c>
      <c r="D23" s="2">
        <v>124</v>
      </c>
      <c r="E23" s="2">
        <v>1.86</v>
      </c>
      <c r="F23" s="2" t="s">
        <v>39</v>
      </c>
      <c r="G23" s="2" t="s">
        <v>61</v>
      </c>
      <c r="H23" s="2">
        <v>3</v>
      </c>
      <c r="I23">
        <f t="shared" si="1"/>
        <v>3</v>
      </c>
      <c r="J23">
        <v>3</v>
      </c>
      <c r="L23">
        <v>3</v>
      </c>
      <c r="M23">
        <v>3</v>
      </c>
      <c r="P23">
        <v>3</v>
      </c>
    </row>
    <row r="24" spans="1:16" x14ac:dyDescent="0.2">
      <c r="A24" s="2">
        <v>3</v>
      </c>
      <c r="B24" s="2" t="s">
        <v>20</v>
      </c>
      <c r="C24" t="s">
        <v>70</v>
      </c>
      <c r="D24" s="2">
        <v>115</v>
      </c>
      <c r="E24" s="2">
        <v>1.86</v>
      </c>
      <c r="F24" s="2" t="s">
        <v>39</v>
      </c>
      <c r="G24" s="2" t="s">
        <v>62</v>
      </c>
      <c r="H24" s="2">
        <v>3</v>
      </c>
      <c r="I24">
        <f t="shared" si="1"/>
        <v>3</v>
      </c>
      <c r="J24">
        <v>3</v>
      </c>
      <c r="L24">
        <v>3</v>
      </c>
      <c r="M24">
        <v>3</v>
      </c>
      <c r="P24">
        <v>3</v>
      </c>
    </row>
    <row r="25" spans="1:16" x14ac:dyDescent="0.2">
      <c r="A25" s="2">
        <v>4</v>
      </c>
      <c r="B25" s="2" t="s">
        <v>20</v>
      </c>
      <c r="C25" t="s">
        <v>70</v>
      </c>
      <c r="D25" s="2">
        <v>120</v>
      </c>
      <c r="E25" s="2">
        <v>1.86</v>
      </c>
      <c r="F25" s="2" t="s">
        <v>39</v>
      </c>
      <c r="G25" s="2" t="s">
        <v>63</v>
      </c>
      <c r="H25" s="2">
        <v>2.75</v>
      </c>
      <c r="I25">
        <f t="shared" si="1"/>
        <v>2.75</v>
      </c>
      <c r="J25">
        <v>3</v>
      </c>
      <c r="L25">
        <v>2</v>
      </c>
      <c r="M25">
        <v>3</v>
      </c>
      <c r="P25">
        <v>3</v>
      </c>
    </row>
    <row r="26" spans="1:16" x14ac:dyDescent="0.2">
      <c r="A26" s="2">
        <v>5</v>
      </c>
      <c r="B26" s="2" t="s">
        <v>20</v>
      </c>
      <c r="C26" t="s">
        <v>70</v>
      </c>
      <c r="D26" s="2">
        <v>114</v>
      </c>
      <c r="E26" s="2">
        <v>1.85</v>
      </c>
      <c r="F26" s="2" t="s">
        <v>39</v>
      </c>
      <c r="G26" s="2" t="s">
        <v>64</v>
      </c>
      <c r="H26" s="2">
        <v>2</v>
      </c>
      <c r="I26">
        <f t="shared" si="1"/>
        <v>2</v>
      </c>
      <c r="J26">
        <v>2</v>
      </c>
      <c r="L26">
        <v>2</v>
      </c>
      <c r="M26">
        <v>2</v>
      </c>
      <c r="P26">
        <v>2</v>
      </c>
    </row>
    <row r="27" spans="1:16" x14ac:dyDescent="0.2">
      <c r="A27" s="2">
        <v>1</v>
      </c>
      <c r="B27" s="2" t="s">
        <v>21</v>
      </c>
      <c r="C27" t="s">
        <v>70</v>
      </c>
      <c r="D27" s="2">
        <v>154</v>
      </c>
      <c r="E27" s="2">
        <v>2.33</v>
      </c>
      <c r="F27" s="2" t="s">
        <v>35</v>
      </c>
      <c r="G27" s="2" t="s">
        <v>40</v>
      </c>
      <c r="H27" s="2">
        <v>3.2</v>
      </c>
      <c r="I27">
        <f t="shared" si="1"/>
        <v>3.2</v>
      </c>
      <c r="J27">
        <v>3</v>
      </c>
      <c r="K27">
        <v>1</v>
      </c>
      <c r="L27">
        <v>4</v>
      </c>
      <c r="M27">
        <v>5</v>
      </c>
      <c r="N27">
        <v>3</v>
      </c>
    </row>
    <row r="28" spans="1:16" x14ac:dyDescent="0.2">
      <c r="A28" s="2">
        <v>2</v>
      </c>
      <c r="B28" s="2" t="s">
        <v>21</v>
      </c>
      <c r="C28" t="s">
        <v>70</v>
      </c>
      <c r="D28" s="2">
        <v>55</v>
      </c>
      <c r="E28" s="2">
        <v>0.03</v>
      </c>
      <c r="F28" s="2" t="s">
        <v>35</v>
      </c>
      <c r="G28" s="2" t="s">
        <v>41</v>
      </c>
      <c r="H28" s="2">
        <v>0</v>
      </c>
      <c r="I28">
        <f t="shared" si="1"/>
        <v>0</v>
      </c>
      <c r="J28">
        <v>0</v>
      </c>
      <c r="K28">
        <v>0</v>
      </c>
      <c r="L28">
        <v>0</v>
      </c>
      <c r="M28">
        <v>0</v>
      </c>
    </row>
    <row r="29" spans="1:16" x14ac:dyDescent="0.2">
      <c r="A29" s="2">
        <v>3</v>
      </c>
      <c r="B29" s="2" t="s">
        <v>21</v>
      </c>
      <c r="C29" t="s">
        <v>70</v>
      </c>
      <c r="D29" s="2">
        <v>77</v>
      </c>
      <c r="E29" s="2">
        <v>0.19</v>
      </c>
      <c r="F29" s="2" t="s">
        <v>35</v>
      </c>
      <c r="G29" s="2" t="s">
        <v>42</v>
      </c>
      <c r="H29" s="2">
        <v>4.5</v>
      </c>
      <c r="I29">
        <f t="shared" si="1"/>
        <v>4.5</v>
      </c>
      <c r="J29">
        <v>4</v>
      </c>
      <c r="K29">
        <v>4</v>
      </c>
      <c r="L29">
        <v>5</v>
      </c>
      <c r="M29">
        <v>5</v>
      </c>
    </row>
    <row r="30" spans="1:16" x14ac:dyDescent="0.2">
      <c r="A30" s="2">
        <v>4</v>
      </c>
      <c r="B30" s="2" t="s">
        <v>21</v>
      </c>
      <c r="C30" t="s">
        <v>70</v>
      </c>
      <c r="D30" s="2">
        <v>73</v>
      </c>
      <c r="E30" s="2">
        <v>0.72</v>
      </c>
      <c r="F30" s="2" t="s">
        <v>35</v>
      </c>
      <c r="G30" s="2" t="s">
        <v>43</v>
      </c>
      <c r="H30" s="2">
        <v>3.5</v>
      </c>
      <c r="I30">
        <f t="shared" si="1"/>
        <v>3.5</v>
      </c>
      <c r="J30">
        <v>4</v>
      </c>
      <c r="K30">
        <v>2</v>
      </c>
      <c r="L30">
        <v>4</v>
      </c>
      <c r="M30">
        <v>4</v>
      </c>
    </row>
    <row r="31" spans="1:16" x14ac:dyDescent="0.2">
      <c r="A31" s="2">
        <v>5</v>
      </c>
      <c r="B31" s="2" t="s">
        <v>21</v>
      </c>
      <c r="C31" t="s">
        <v>70</v>
      </c>
      <c r="D31" s="2">
        <v>51</v>
      </c>
      <c r="E31" s="2">
        <v>0.03</v>
      </c>
      <c r="F31" s="2" t="s">
        <v>35</v>
      </c>
      <c r="G31" s="2" t="s">
        <v>44</v>
      </c>
      <c r="H31" s="2">
        <v>0</v>
      </c>
      <c r="I31">
        <f t="shared" si="1"/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6" x14ac:dyDescent="0.2">
      <c r="A32" s="2">
        <v>1</v>
      </c>
      <c r="B32" s="2" t="s">
        <v>21</v>
      </c>
      <c r="C32" t="s">
        <v>70</v>
      </c>
      <c r="D32" s="2">
        <v>48</v>
      </c>
      <c r="E32" s="2">
        <v>0.03</v>
      </c>
      <c r="F32" s="2" t="s">
        <v>36</v>
      </c>
      <c r="G32" s="2" t="s">
        <v>45</v>
      </c>
      <c r="H32" s="2">
        <v>0</v>
      </c>
      <c r="I32">
        <f t="shared" si="1"/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 s="2">
        <v>2</v>
      </c>
      <c r="B33" s="2" t="s">
        <v>21</v>
      </c>
      <c r="C33" t="s">
        <v>70</v>
      </c>
      <c r="D33" s="2">
        <v>59</v>
      </c>
      <c r="E33" s="2">
        <v>0.03</v>
      </c>
      <c r="F33" s="2" t="s">
        <v>36</v>
      </c>
      <c r="G33" s="2" t="s">
        <v>46</v>
      </c>
      <c r="H33" s="2">
        <v>0</v>
      </c>
      <c r="I33">
        <f t="shared" si="1"/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s="2">
        <v>3</v>
      </c>
      <c r="B34" s="2" t="s">
        <v>21</v>
      </c>
      <c r="C34" t="s">
        <v>70</v>
      </c>
      <c r="D34" s="2">
        <v>146</v>
      </c>
      <c r="E34" s="2">
        <v>2.3199999999999998</v>
      </c>
      <c r="F34" s="2" t="s">
        <v>36</v>
      </c>
      <c r="G34" s="2" t="s">
        <v>47</v>
      </c>
      <c r="H34" s="2">
        <v>3</v>
      </c>
      <c r="I34">
        <f t="shared" si="1"/>
        <v>3</v>
      </c>
      <c r="J34">
        <v>3</v>
      </c>
      <c r="K34">
        <v>3</v>
      </c>
      <c r="L34">
        <v>4</v>
      </c>
      <c r="M34">
        <v>2</v>
      </c>
    </row>
    <row r="35" spans="1:14" x14ac:dyDescent="0.2">
      <c r="A35" s="2">
        <v>4</v>
      </c>
      <c r="B35" s="2" t="s">
        <v>21</v>
      </c>
      <c r="C35" t="s">
        <v>70</v>
      </c>
      <c r="D35" s="2">
        <v>83</v>
      </c>
      <c r="E35" s="2">
        <v>0.7</v>
      </c>
      <c r="F35" s="2" t="s">
        <v>36</v>
      </c>
      <c r="G35" s="2" t="s">
        <v>48</v>
      </c>
      <c r="H35" s="2">
        <v>3.25</v>
      </c>
      <c r="I35">
        <f t="shared" si="1"/>
        <v>3.25</v>
      </c>
      <c r="J35">
        <v>3</v>
      </c>
      <c r="K35">
        <v>4</v>
      </c>
      <c r="L35">
        <v>4</v>
      </c>
      <c r="M35">
        <v>2</v>
      </c>
    </row>
    <row r="36" spans="1:14" x14ac:dyDescent="0.2">
      <c r="A36" s="2">
        <v>5</v>
      </c>
      <c r="B36" s="2" t="s">
        <v>21</v>
      </c>
      <c r="C36" t="s">
        <v>70</v>
      </c>
      <c r="D36" s="2">
        <v>41</v>
      </c>
      <c r="E36" s="2">
        <v>0.03</v>
      </c>
      <c r="F36" s="2" t="s">
        <v>36</v>
      </c>
      <c r="G36" s="2" t="s">
        <v>49</v>
      </c>
      <c r="H36" s="2">
        <v>0</v>
      </c>
      <c r="I36">
        <f t="shared" si="1"/>
        <v>0</v>
      </c>
      <c r="J36">
        <v>0</v>
      </c>
      <c r="K36">
        <v>0</v>
      </c>
      <c r="L36">
        <v>0</v>
      </c>
      <c r="M36">
        <v>0</v>
      </c>
    </row>
    <row r="37" spans="1:14" x14ac:dyDescent="0.2">
      <c r="A37" s="2">
        <v>1</v>
      </c>
      <c r="B37" s="2" t="s">
        <v>21</v>
      </c>
      <c r="C37" t="s">
        <v>70</v>
      </c>
      <c r="D37" s="2">
        <v>122</v>
      </c>
      <c r="E37" s="2">
        <v>2.2999999999999998</v>
      </c>
      <c r="F37" s="2" t="s">
        <v>37</v>
      </c>
      <c r="G37" s="2" t="s">
        <v>50</v>
      </c>
      <c r="H37" s="2">
        <v>0</v>
      </c>
      <c r="I37">
        <f t="shared" si="1"/>
        <v>0</v>
      </c>
      <c r="J37">
        <v>0</v>
      </c>
      <c r="L37">
        <v>0</v>
      </c>
      <c r="M37">
        <v>0</v>
      </c>
    </row>
    <row r="38" spans="1:14" x14ac:dyDescent="0.2">
      <c r="A38" s="2">
        <v>2</v>
      </c>
      <c r="B38" s="2" t="s">
        <v>21</v>
      </c>
      <c r="C38" t="s">
        <v>70</v>
      </c>
      <c r="D38" s="2">
        <v>69</v>
      </c>
      <c r="E38" s="2">
        <v>1.04</v>
      </c>
      <c r="F38" s="2" t="s">
        <v>37</v>
      </c>
      <c r="G38" s="2" t="s">
        <v>51</v>
      </c>
      <c r="H38" s="2">
        <v>0</v>
      </c>
      <c r="I38">
        <f t="shared" si="1"/>
        <v>0</v>
      </c>
      <c r="J38">
        <v>0</v>
      </c>
      <c r="L38">
        <v>0</v>
      </c>
      <c r="M38">
        <v>0</v>
      </c>
    </row>
    <row r="39" spans="1:14" x14ac:dyDescent="0.2">
      <c r="A39" s="2">
        <v>3</v>
      </c>
      <c r="B39" s="2" t="s">
        <v>21</v>
      </c>
      <c r="C39" t="s">
        <v>70</v>
      </c>
      <c r="D39" s="2">
        <v>80</v>
      </c>
      <c r="E39" s="2">
        <v>1.18</v>
      </c>
      <c r="F39" s="2" t="s">
        <v>37</v>
      </c>
      <c r="G39" s="2" t="s">
        <v>52</v>
      </c>
      <c r="H39" s="2">
        <v>1.3333333333333333</v>
      </c>
      <c r="I39">
        <f t="shared" si="1"/>
        <v>1.3333333333333333</v>
      </c>
      <c r="J39">
        <v>1</v>
      </c>
      <c r="L39">
        <v>1</v>
      </c>
      <c r="M39">
        <v>2</v>
      </c>
    </row>
    <row r="40" spans="1:14" x14ac:dyDescent="0.2">
      <c r="A40" s="2">
        <v>4</v>
      </c>
      <c r="B40" s="2" t="s">
        <v>21</v>
      </c>
      <c r="C40" t="s">
        <v>70</v>
      </c>
      <c r="D40" s="2">
        <v>120</v>
      </c>
      <c r="E40" s="2">
        <v>2.2999999999999998</v>
      </c>
      <c r="F40" s="2" t="s">
        <v>37</v>
      </c>
      <c r="G40" s="2" t="s">
        <v>53</v>
      </c>
      <c r="H40" s="2">
        <v>0</v>
      </c>
      <c r="I40">
        <f t="shared" si="1"/>
        <v>0</v>
      </c>
      <c r="J40">
        <v>0</v>
      </c>
      <c r="L40">
        <v>0</v>
      </c>
      <c r="M40">
        <v>0</v>
      </c>
    </row>
    <row r="41" spans="1:14" x14ac:dyDescent="0.2">
      <c r="A41" s="2">
        <v>5</v>
      </c>
      <c r="B41" s="2" t="s">
        <v>21</v>
      </c>
      <c r="C41" t="s">
        <v>70</v>
      </c>
      <c r="D41" s="2">
        <v>108</v>
      </c>
      <c r="E41" s="2">
        <v>1.89</v>
      </c>
      <c r="F41" s="2" t="s">
        <v>37</v>
      </c>
      <c r="G41" s="2" t="s">
        <v>54</v>
      </c>
      <c r="H41" s="2">
        <v>0</v>
      </c>
      <c r="I41">
        <f t="shared" si="1"/>
        <v>0</v>
      </c>
      <c r="J41">
        <v>0</v>
      </c>
      <c r="L41">
        <v>0</v>
      </c>
      <c r="M41">
        <v>0</v>
      </c>
    </row>
    <row r="42" spans="1:14" x14ac:dyDescent="0.2">
      <c r="A42" s="2">
        <v>1</v>
      </c>
      <c r="B42" s="2" t="s">
        <v>21</v>
      </c>
      <c r="C42" t="s">
        <v>70</v>
      </c>
      <c r="D42" s="2">
        <v>129</v>
      </c>
      <c r="E42" s="2">
        <v>2.3199999999999998</v>
      </c>
      <c r="F42" s="2" t="s">
        <v>38</v>
      </c>
      <c r="G42" s="2" t="s">
        <v>55</v>
      </c>
      <c r="H42" s="2">
        <v>1.3333333333333333</v>
      </c>
      <c r="I42">
        <f t="shared" si="1"/>
        <v>1.3333333333333333</v>
      </c>
      <c r="J42">
        <v>1</v>
      </c>
      <c r="L42">
        <v>1</v>
      </c>
      <c r="M42">
        <v>2</v>
      </c>
    </row>
    <row r="43" spans="1:14" x14ac:dyDescent="0.2">
      <c r="A43" s="2">
        <v>2</v>
      </c>
      <c r="B43" s="2" t="s">
        <v>21</v>
      </c>
      <c r="C43" t="s">
        <v>70</v>
      </c>
      <c r="D43" s="2">
        <v>49</v>
      </c>
      <c r="E43" s="2">
        <v>0.03</v>
      </c>
      <c r="F43" s="2" t="s">
        <v>38</v>
      </c>
      <c r="G43" s="2" t="s">
        <v>56</v>
      </c>
      <c r="H43" s="2">
        <v>1.3333333333333333</v>
      </c>
      <c r="I43">
        <f t="shared" si="1"/>
        <v>1.3333333333333333</v>
      </c>
      <c r="J43">
        <v>1</v>
      </c>
      <c r="L43">
        <v>1</v>
      </c>
      <c r="M43">
        <v>2</v>
      </c>
    </row>
    <row r="44" spans="1:14" x14ac:dyDescent="0.2">
      <c r="A44" s="2">
        <v>3</v>
      </c>
      <c r="B44" s="2" t="s">
        <v>21</v>
      </c>
      <c r="C44" t="s">
        <v>70</v>
      </c>
      <c r="D44" s="2">
        <v>131</v>
      </c>
      <c r="E44" s="2">
        <v>2.3199999999999998</v>
      </c>
      <c r="F44" s="2" t="s">
        <v>38</v>
      </c>
      <c r="G44" s="2" t="s">
        <v>57</v>
      </c>
      <c r="H44" s="2">
        <v>4</v>
      </c>
      <c r="I44">
        <f t="shared" si="1"/>
        <v>4</v>
      </c>
      <c r="J44">
        <v>4</v>
      </c>
      <c r="L44">
        <v>4</v>
      </c>
      <c r="M44">
        <v>4</v>
      </c>
    </row>
    <row r="45" spans="1:14" x14ac:dyDescent="0.2">
      <c r="A45" s="2">
        <v>4</v>
      </c>
      <c r="B45" s="2" t="s">
        <v>21</v>
      </c>
      <c r="C45" t="s">
        <v>70</v>
      </c>
      <c r="D45" s="2">
        <v>125</v>
      </c>
      <c r="E45" s="2">
        <v>2.3199999999999998</v>
      </c>
      <c r="F45" s="2" t="s">
        <v>38</v>
      </c>
      <c r="G45" s="2" t="s">
        <v>58</v>
      </c>
      <c r="H45" s="2">
        <v>4</v>
      </c>
      <c r="I45">
        <f t="shared" si="1"/>
        <v>4</v>
      </c>
      <c r="J45">
        <v>4</v>
      </c>
      <c r="L45">
        <v>4</v>
      </c>
      <c r="M45">
        <v>4</v>
      </c>
    </row>
    <row r="46" spans="1:14" x14ac:dyDescent="0.2">
      <c r="A46" s="2">
        <v>5</v>
      </c>
      <c r="B46" s="2" t="s">
        <v>21</v>
      </c>
      <c r="C46" t="s">
        <v>70</v>
      </c>
      <c r="D46" s="2">
        <v>135</v>
      </c>
      <c r="E46" s="2">
        <v>2.3199999999999998</v>
      </c>
      <c r="F46" s="2" t="s">
        <v>38</v>
      </c>
      <c r="G46" s="2" t="s">
        <v>59</v>
      </c>
      <c r="H46" s="2">
        <v>4</v>
      </c>
      <c r="I46">
        <f t="shared" si="1"/>
        <v>4</v>
      </c>
      <c r="J46">
        <v>4</v>
      </c>
      <c r="L46">
        <v>4</v>
      </c>
      <c r="M46">
        <v>4</v>
      </c>
    </row>
    <row r="47" spans="1:14" x14ac:dyDescent="0.2">
      <c r="A47" s="2">
        <v>1</v>
      </c>
      <c r="B47" s="2" t="s">
        <v>21</v>
      </c>
      <c r="C47" t="s">
        <v>70</v>
      </c>
      <c r="D47" s="2">
        <v>73</v>
      </c>
      <c r="E47" s="2">
        <v>1.34</v>
      </c>
      <c r="F47" s="2" t="s">
        <v>39</v>
      </c>
      <c r="G47" s="2" t="s">
        <v>60</v>
      </c>
      <c r="H47" s="2">
        <v>4</v>
      </c>
      <c r="I47">
        <f t="shared" si="1"/>
        <v>4</v>
      </c>
      <c r="J47">
        <v>4</v>
      </c>
      <c r="L47">
        <v>4</v>
      </c>
      <c r="M47">
        <v>4</v>
      </c>
    </row>
    <row r="48" spans="1:14" x14ac:dyDescent="0.2">
      <c r="A48" s="2">
        <v>2</v>
      </c>
      <c r="B48" s="2" t="s">
        <v>21</v>
      </c>
      <c r="C48" t="s">
        <v>70</v>
      </c>
      <c r="D48" s="2">
        <v>123</v>
      </c>
      <c r="E48" s="2">
        <v>2.2999999999999998</v>
      </c>
      <c r="F48" s="2" t="s">
        <v>39</v>
      </c>
      <c r="G48" s="2" t="s">
        <v>61</v>
      </c>
      <c r="H48" s="2">
        <v>2</v>
      </c>
      <c r="I48">
        <f t="shared" si="1"/>
        <v>2</v>
      </c>
      <c r="J48">
        <v>2</v>
      </c>
      <c r="L48">
        <v>2</v>
      </c>
      <c r="M48">
        <v>2</v>
      </c>
    </row>
    <row r="49" spans="1:16" x14ac:dyDescent="0.2">
      <c r="A49" s="2">
        <v>3</v>
      </c>
      <c r="B49" s="2" t="s">
        <v>21</v>
      </c>
      <c r="C49" t="s">
        <v>70</v>
      </c>
      <c r="D49" s="2">
        <v>115</v>
      </c>
      <c r="E49" s="2">
        <v>2.31</v>
      </c>
      <c r="F49" s="2" t="s">
        <v>39</v>
      </c>
      <c r="G49" s="2" t="s">
        <v>62</v>
      </c>
      <c r="H49" s="2">
        <v>2.3333333333333335</v>
      </c>
      <c r="I49">
        <f t="shared" si="1"/>
        <v>2.3333333333333335</v>
      </c>
      <c r="J49">
        <v>2</v>
      </c>
      <c r="L49">
        <v>2</v>
      </c>
      <c r="M49">
        <v>3</v>
      </c>
    </row>
    <row r="50" spans="1:16" x14ac:dyDescent="0.2">
      <c r="A50" s="2">
        <v>4</v>
      </c>
      <c r="B50" s="2" t="s">
        <v>21</v>
      </c>
      <c r="C50" t="s">
        <v>70</v>
      </c>
      <c r="D50" s="2">
        <v>117</v>
      </c>
      <c r="E50" s="2">
        <v>2.2999999999999998</v>
      </c>
      <c r="F50" s="2" t="s">
        <v>39</v>
      </c>
      <c r="G50" s="2" t="s">
        <v>63</v>
      </c>
      <c r="H50" s="2">
        <v>3</v>
      </c>
      <c r="I50">
        <f t="shared" si="1"/>
        <v>3</v>
      </c>
      <c r="J50">
        <v>3</v>
      </c>
      <c r="L50">
        <v>3</v>
      </c>
      <c r="M50">
        <v>3</v>
      </c>
    </row>
    <row r="51" spans="1:16" x14ac:dyDescent="0.2">
      <c r="A51" s="2">
        <v>5</v>
      </c>
      <c r="B51" s="2" t="s">
        <v>21</v>
      </c>
      <c r="C51" t="s">
        <v>70</v>
      </c>
      <c r="D51" s="2">
        <v>31</v>
      </c>
      <c r="E51" s="2">
        <v>0.39</v>
      </c>
      <c r="F51" s="2" t="s">
        <v>39</v>
      </c>
      <c r="G51" s="2" t="s">
        <v>64</v>
      </c>
      <c r="H51" s="2">
        <v>4</v>
      </c>
      <c r="I51">
        <f t="shared" si="1"/>
        <v>4</v>
      </c>
      <c r="J51">
        <v>4</v>
      </c>
      <c r="L51">
        <v>4</v>
      </c>
      <c r="M51">
        <v>4</v>
      </c>
      <c r="P51">
        <v>4</v>
      </c>
    </row>
    <row r="52" spans="1:16" x14ac:dyDescent="0.2">
      <c r="A52" s="2">
        <v>1</v>
      </c>
      <c r="B52" s="2" t="s">
        <v>22</v>
      </c>
      <c r="C52" t="s">
        <v>70</v>
      </c>
      <c r="D52" s="2">
        <v>153</v>
      </c>
      <c r="E52" s="2">
        <v>1.07</v>
      </c>
      <c r="F52" s="2" t="s">
        <v>35</v>
      </c>
      <c r="G52" s="2" t="s">
        <v>40</v>
      </c>
      <c r="H52" s="2">
        <v>0</v>
      </c>
      <c r="I52">
        <f t="shared" si="1"/>
        <v>0</v>
      </c>
      <c r="J52">
        <v>0</v>
      </c>
      <c r="K52">
        <v>0</v>
      </c>
      <c r="L52">
        <v>0</v>
      </c>
      <c r="M52">
        <v>0</v>
      </c>
    </row>
    <row r="53" spans="1:16" x14ac:dyDescent="0.2">
      <c r="A53" s="2">
        <v>2</v>
      </c>
      <c r="B53" s="2" t="s">
        <v>22</v>
      </c>
      <c r="C53" t="s">
        <v>70</v>
      </c>
      <c r="D53" s="2">
        <v>153</v>
      </c>
      <c r="E53" s="2">
        <v>0.96</v>
      </c>
      <c r="F53" s="2" t="s">
        <v>35</v>
      </c>
      <c r="G53" s="2" t="s">
        <v>41</v>
      </c>
      <c r="H53" s="2">
        <v>0</v>
      </c>
      <c r="I53">
        <f t="shared" si="1"/>
        <v>0</v>
      </c>
      <c r="J53">
        <v>0</v>
      </c>
      <c r="K53">
        <v>0</v>
      </c>
      <c r="L53">
        <v>0</v>
      </c>
      <c r="M53">
        <v>0</v>
      </c>
    </row>
    <row r="54" spans="1:16" x14ac:dyDescent="0.2">
      <c r="A54" s="2">
        <v>3</v>
      </c>
      <c r="B54" s="2" t="s">
        <v>22</v>
      </c>
      <c r="C54" t="s">
        <v>70</v>
      </c>
      <c r="D54" s="2">
        <v>168</v>
      </c>
      <c r="E54" s="2">
        <v>0.96</v>
      </c>
      <c r="F54" s="2" t="s">
        <v>35</v>
      </c>
      <c r="G54" s="2" t="s">
        <v>42</v>
      </c>
      <c r="H54" s="2">
        <v>0</v>
      </c>
      <c r="I54">
        <f t="shared" si="1"/>
        <v>0</v>
      </c>
      <c r="J54">
        <v>0</v>
      </c>
      <c r="K54">
        <v>0</v>
      </c>
      <c r="L54">
        <v>0</v>
      </c>
      <c r="M54">
        <v>0</v>
      </c>
    </row>
    <row r="55" spans="1:16" x14ac:dyDescent="0.2">
      <c r="A55" s="2">
        <v>4</v>
      </c>
      <c r="B55" s="2" t="s">
        <v>22</v>
      </c>
      <c r="C55" t="s">
        <v>70</v>
      </c>
      <c r="D55" s="2">
        <v>144</v>
      </c>
      <c r="E55" s="2">
        <v>0.96</v>
      </c>
      <c r="F55" s="2" t="s">
        <v>35</v>
      </c>
      <c r="G55" s="2" t="s">
        <v>43</v>
      </c>
      <c r="H55" s="2">
        <v>0</v>
      </c>
      <c r="I55">
        <f t="shared" si="1"/>
        <v>0</v>
      </c>
      <c r="J55">
        <v>0</v>
      </c>
      <c r="K55">
        <v>0</v>
      </c>
      <c r="L55">
        <v>0</v>
      </c>
      <c r="M55">
        <v>0</v>
      </c>
    </row>
    <row r="56" spans="1:16" x14ac:dyDescent="0.2">
      <c r="A56" s="2">
        <v>5</v>
      </c>
      <c r="B56" s="2" t="s">
        <v>22</v>
      </c>
      <c r="C56" t="s">
        <v>70</v>
      </c>
      <c r="D56" s="2">
        <v>150</v>
      </c>
      <c r="E56" s="2">
        <v>0.96</v>
      </c>
      <c r="F56" s="2" t="s">
        <v>35</v>
      </c>
      <c r="G56" s="2" t="s">
        <v>44</v>
      </c>
      <c r="H56" s="2">
        <v>0</v>
      </c>
      <c r="I56">
        <f t="shared" si="1"/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6" x14ac:dyDescent="0.2">
      <c r="A57" s="2">
        <v>1</v>
      </c>
      <c r="B57" s="2" t="s">
        <v>22</v>
      </c>
      <c r="C57" t="s">
        <v>70</v>
      </c>
      <c r="D57" s="2">
        <v>144</v>
      </c>
      <c r="E57" s="2">
        <v>0.96</v>
      </c>
      <c r="F57" s="2" t="s">
        <v>36</v>
      </c>
      <c r="G57" s="2" t="s">
        <v>45</v>
      </c>
      <c r="H57" s="2">
        <v>0</v>
      </c>
      <c r="I57">
        <f t="shared" si="1"/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6" x14ac:dyDescent="0.2">
      <c r="A58" s="2">
        <v>2</v>
      </c>
      <c r="B58" s="2" t="s">
        <v>22</v>
      </c>
      <c r="C58" t="s">
        <v>70</v>
      </c>
      <c r="D58" s="2">
        <v>157</v>
      </c>
      <c r="E58" s="2">
        <v>0.96</v>
      </c>
      <c r="F58" s="2" t="s">
        <v>36</v>
      </c>
      <c r="G58" s="2" t="s">
        <v>46</v>
      </c>
      <c r="H58" s="2">
        <v>4</v>
      </c>
      <c r="I58">
        <f t="shared" si="1"/>
        <v>4</v>
      </c>
      <c r="J58">
        <v>4</v>
      </c>
      <c r="K58">
        <v>4</v>
      </c>
      <c r="L58">
        <v>4</v>
      </c>
      <c r="M58">
        <v>4</v>
      </c>
    </row>
    <row r="59" spans="1:16" x14ac:dyDescent="0.2">
      <c r="A59" s="2">
        <v>3</v>
      </c>
      <c r="B59" s="2" t="s">
        <v>22</v>
      </c>
      <c r="C59" t="s">
        <v>70</v>
      </c>
      <c r="D59" s="2">
        <v>146</v>
      </c>
      <c r="E59" s="2">
        <v>0.96</v>
      </c>
      <c r="F59" s="2" t="s">
        <v>36</v>
      </c>
      <c r="G59" s="2" t="s">
        <v>47</v>
      </c>
      <c r="H59" s="2">
        <v>3.25</v>
      </c>
      <c r="I59">
        <f t="shared" si="1"/>
        <v>3.25</v>
      </c>
      <c r="J59">
        <v>4</v>
      </c>
      <c r="K59">
        <v>3</v>
      </c>
      <c r="L59">
        <v>4</v>
      </c>
      <c r="M59">
        <v>2</v>
      </c>
    </row>
    <row r="60" spans="1:16" x14ac:dyDescent="0.2">
      <c r="A60" s="2">
        <v>4</v>
      </c>
      <c r="B60" s="2" t="s">
        <v>22</v>
      </c>
      <c r="C60" t="s">
        <v>70</v>
      </c>
      <c r="D60" s="2">
        <v>153</v>
      </c>
      <c r="E60" s="2">
        <v>0.96</v>
      </c>
      <c r="F60" s="2" t="s">
        <v>36</v>
      </c>
      <c r="G60" s="2" t="s">
        <v>48</v>
      </c>
      <c r="H60" s="2">
        <v>0</v>
      </c>
      <c r="I60">
        <f t="shared" si="1"/>
        <v>0</v>
      </c>
      <c r="J60">
        <v>0</v>
      </c>
      <c r="K60">
        <v>0</v>
      </c>
      <c r="L60">
        <v>0</v>
      </c>
      <c r="M60">
        <v>0</v>
      </c>
    </row>
    <row r="61" spans="1:16" x14ac:dyDescent="0.2">
      <c r="A61" s="2">
        <v>5</v>
      </c>
      <c r="B61" s="2" t="s">
        <v>22</v>
      </c>
      <c r="C61" t="s">
        <v>70</v>
      </c>
      <c r="D61" s="2">
        <v>140</v>
      </c>
      <c r="E61" s="2">
        <v>0.96</v>
      </c>
      <c r="F61" s="2" t="s">
        <v>36</v>
      </c>
      <c r="G61" s="2" t="s">
        <v>49</v>
      </c>
      <c r="H61" s="2">
        <v>0</v>
      </c>
      <c r="I61">
        <f t="shared" si="1"/>
        <v>0</v>
      </c>
      <c r="J61">
        <v>0</v>
      </c>
      <c r="K61">
        <v>0</v>
      </c>
      <c r="L61">
        <v>0</v>
      </c>
      <c r="M61">
        <v>0</v>
      </c>
    </row>
    <row r="62" spans="1:16" x14ac:dyDescent="0.2">
      <c r="A62" s="2">
        <v>1</v>
      </c>
      <c r="B62" s="2" t="s">
        <v>22</v>
      </c>
      <c r="C62" t="s">
        <v>70</v>
      </c>
      <c r="D62" s="2">
        <v>121</v>
      </c>
      <c r="E62" s="2">
        <v>0.95</v>
      </c>
      <c r="F62" s="2" t="s">
        <v>37</v>
      </c>
      <c r="G62" s="2" t="s">
        <v>50</v>
      </c>
      <c r="H62" s="2">
        <v>2.6666666666666665</v>
      </c>
      <c r="I62">
        <f t="shared" si="1"/>
        <v>2.6666666666666665</v>
      </c>
      <c r="J62">
        <v>2</v>
      </c>
      <c r="L62">
        <v>3</v>
      </c>
      <c r="M62">
        <v>3</v>
      </c>
    </row>
    <row r="63" spans="1:16" x14ac:dyDescent="0.2">
      <c r="A63" s="2">
        <v>2</v>
      </c>
      <c r="B63" s="2" t="s">
        <v>22</v>
      </c>
      <c r="C63" t="s">
        <v>70</v>
      </c>
      <c r="D63" s="2">
        <v>124</v>
      </c>
      <c r="E63" s="2">
        <v>0.95</v>
      </c>
      <c r="F63" s="2" t="s">
        <v>37</v>
      </c>
      <c r="G63" s="2" t="s">
        <v>51</v>
      </c>
      <c r="H63" s="2">
        <v>0</v>
      </c>
      <c r="I63">
        <f t="shared" si="1"/>
        <v>0</v>
      </c>
      <c r="J63">
        <v>0</v>
      </c>
      <c r="L63">
        <v>0</v>
      </c>
      <c r="M63">
        <v>0</v>
      </c>
    </row>
    <row r="64" spans="1:16" x14ac:dyDescent="0.2">
      <c r="A64" s="2">
        <v>3</v>
      </c>
      <c r="B64" s="2" t="s">
        <v>22</v>
      </c>
      <c r="C64" t="s">
        <v>70</v>
      </c>
      <c r="D64" s="2">
        <v>129</v>
      </c>
      <c r="E64" s="2">
        <v>0.95</v>
      </c>
      <c r="F64" s="2" t="s">
        <v>37</v>
      </c>
      <c r="G64" s="2" t="s">
        <v>52</v>
      </c>
      <c r="H64" s="2">
        <v>0</v>
      </c>
      <c r="I64">
        <f t="shared" si="1"/>
        <v>0</v>
      </c>
      <c r="J64">
        <v>0</v>
      </c>
      <c r="L64">
        <v>0</v>
      </c>
      <c r="M64">
        <v>0</v>
      </c>
    </row>
    <row r="65" spans="1:16" x14ac:dyDescent="0.2">
      <c r="A65" s="2">
        <v>4</v>
      </c>
      <c r="B65" s="2" t="s">
        <v>22</v>
      </c>
      <c r="C65" t="s">
        <v>70</v>
      </c>
      <c r="D65" s="2">
        <v>119</v>
      </c>
      <c r="E65" s="2">
        <v>0.95</v>
      </c>
      <c r="F65" s="2" t="s">
        <v>37</v>
      </c>
      <c r="G65" s="2" t="s">
        <v>53</v>
      </c>
      <c r="H65" s="2">
        <v>0</v>
      </c>
      <c r="I65">
        <f t="shared" si="1"/>
        <v>0</v>
      </c>
      <c r="J65">
        <v>0</v>
      </c>
      <c r="L65">
        <v>0</v>
      </c>
      <c r="M65">
        <v>0</v>
      </c>
    </row>
    <row r="66" spans="1:16" x14ac:dyDescent="0.2">
      <c r="A66" s="2">
        <v>5</v>
      </c>
      <c r="B66" s="2" t="s">
        <v>22</v>
      </c>
      <c r="C66" t="s">
        <v>70</v>
      </c>
      <c r="D66" s="2">
        <v>126</v>
      </c>
      <c r="E66" s="2">
        <v>0.95</v>
      </c>
      <c r="F66" s="2" t="s">
        <v>37</v>
      </c>
      <c r="G66" s="2" t="s">
        <v>54</v>
      </c>
      <c r="H66" s="2">
        <v>1.3333333333333333</v>
      </c>
      <c r="I66">
        <f t="shared" si="1"/>
        <v>1.3333333333333333</v>
      </c>
      <c r="J66">
        <v>1</v>
      </c>
      <c r="L66">
        <v>2</v>
      </c>
      <c r="M66">
        <v>1</v>
      </c>
    </row>
    <row r="67" spans="1:16" x14ac:dyDescent="0.2">
      <c r="A67" s="2">
        <v>1</v>
      </c>
      <c r="B67" s="2" t="s">
        <v>22</v>
      </c>
      <c r="C67" t="s">
        <v>70</v>
      </c>
      <c r="D67" s="2">
        <v>129</v>
      </c>
      <c r="E67" s="2">
        <v>0.96</v>
      </c>
      <c r="F67" s="2" t="s">
        <v>38</v>
      </c>
      <c r="G67" s="2" t="s">
        <v>55</v>
      </c>
      <c r="H67" s="2">
        <v>0</v>
      </c>
      <c r="I67">
        <f t="shared" si="1"/>
        <v>0</v>
      </c>
      <c r="J67">
        <v>0</v>
      </c>
      <c r="L67">
        <v>0</v>
      </c>
      <c r="M67">
        <v>0</v>
      </c>
      <c r="P67">
        <v>0</v>
      </c>
    </row>
    <row r="68" spans="1:16" x14ac:dyDescent="0.2">
      <c r="A68" s="2">
        <v>2</v>
      </c>
      <c r="B68" s="2" t="s">
        <v>22</v>
      </c>
      <c r="C68" t="s">
        <v>70</v>
      </c>
      <c r="D68" s="2">
        <v>145</v>
      </c>
      <c r="E68" s="2">
        <v>0.96</v>
      </c>
      <c r="F68" s="2" t="s">
        <v>38</v>
      </c>
      <c r="G68" s="2" t="s">
        <v>56</v>
      </c>
      <c r="H68" s="2">
        <v>0</v>
      </c>
      <c r="I68">
        <f t="shared" si="1"/>
        <v>0</v>
      </c>
      <c r="J68">
        <v>0</v>
      </c>
      <c r="L68">
        <v>0</v>
      </c>
      <c r="M68">
        <v>0</v>
      </c>
      <c r="P68">
        <v>0</v>
      </c>
    </row>
    <row r="69" spans="1:16" x14ac:dyDescent="0.2">
      <c r="A69" s="2">
        <v>3</v>
      </c>
      <c r="B69" s="2" t="s">
        <v>22</v>
      </c>
      <c r="C69" t="s">
        <v>70</v>
      </c>
      <c r="D69" s="2">
        <v>131</v>
      </c>
      <c r="E69" s="2">
        <v>0.96</v>
      </c>
      <c r="F69" s="2" t="s">
        <v>38</v>
      </c>
      <c r="G69" s="2" t="s">
        <v>57</v>
      </c>
      <c r="H69" s="2">
        <v>2.25</v>
      </c>
      <c r="I69">
        <f t="shared" si="1"/>
        <v>2.25</v>
      </c>
      <c r="J69">
        <v>2</v>
      </c>
      <c r="L69">
        <v>2</v>
      </c>
      <c r="M69">
        <v>2</v>
      </c>
      <c r="P69">
        <v>3</v>
      </c>
    </row>
    <row r="70" spans="1:16" x14ac:dyDescent="0.2">
      <c r="A70" s="2">
        <v>4</v>
      </c>
      <c r="B70" s="2" t="s">
        <v>22</v>
      </c>
      <c r="C70" t="s">
        <v>70</v>
      </c>
      <c r="D70" s="2">
        <v>125</v>
      </c>
      <c r="E70" s="2">
        <v>0.96</v>
      </c>
      <c r="F70" s="2" t="s">
        <v>38</v>
      </c>
      <c r="G70" s="2" t="s">
        <v>58</v>
      </c>
      <c r="H70" s="2">
        <v>0.25</v>
      </c>
      <c r="I70">
        <f t="shared" si="1"/>
        <v>0.25</v>
      </c>
      <c r="J70">
        <v>0</v>
      </c>
      <c r="L70">
        <v>0</v>
      </c>
      <c r="M70">
        <v>0</v>
      </c>
      <c r="P70">
        <v>1</v>
      </c>
    </row>
    <row r="71" spans="1:16" x14ac:dyDescent="0.2">
      <c r="A71" s="2">
        <v>5</v>
      </c>
      <c r="B71" s="2" t="s">
        <v>22</v>
      </c>
      <c r="C71" t="s">
        <v>70</v>
      </c>
      <c r="D71" s="2">
        <v>135</v>
      </c>
      <c r="E71" s="2">
        <v>0.96</v>
      </c>
      <c r="F71" s="2" t="s">
        <v>38</v>
      </c>
      <c r="G71" s="2" t="s">
        <v>59</v>
      </c>
      <c r="H71" s="2">
        <v>0.5</v>
      </c>
      <c r="I71">
        <f t="shared" si="1"/>
        <v>0.5</v>
      </c>
      <c r="J71">
        <v>0</v>
      </c>
      <c r="L71">
        <v>0</v>
      </c>
      <c r="M71">
        <v>0</v>
      </c>
      <c r="P71">
        <v>2</v>
      </c>
    </row>
    <row r="72" spans="1:16" x14ac:dyDescent="0.2">
      <c r="A72" s="2">
        <v>1</v>
      </c>
      <c r="B72" s="2" t="s">
        <v>22</v>
      </c>
      <c r="C72" t="s">
        <v>70</v>
      </c>
      <c r="D72" s="2">
        <v>116</v>
      </c>
      <c r="E72" s="2">
        <v>0.95</v>
      </c>
      <c r="F72" s="2" t="s">
        <v>39</v>
      </c>
      <c r="G72" s="2" t="s">
        <v>60</v>
      </c>
      <c r="H72" s="2">
        <v>0</v>
      </c>
      <c r="I72">
        <f t="shared" si="1"/>
        <v>0</v>
      </c>
      <c r="J72">
        <v>0</v>
      </c>
      <c r="L72">
        <v>0</v>
      </c>
      <c r="M72">
        <v>0</v>
      </c>
      <c r="P72">
        <v>0</v>
      </c>
    </row>
    <row r="73" spans="1:16" x14ac:dyDescent="0.2">
      <c r="A73" s="2">
        <v>2</v>
      </c>
      <c r="B73" s="2" t="s">
        <v>22</v>
      </c>
      <c r="C73" t="s">
        <v>70</v>
      </c>
      <c r="D73" s="2">
        <v>122</v>
      </c>
      <c r="E73" s="2">
        <v>0.95</v>
      </c>
      <c r="F73" s="2" t="s">
        <v>39</v>
      </c>
      <c r="G73" s="2" t="s">
        <v>61</v>
      </c>
      <c r="H73" s="2">
        <v>0.5</v>
      </c>
      <c r="I73">
        <f t="shared" si="1"/>
        <v>0.5</v>
      </c>
      <c r="J73">
        <v>0</v>
      </c>
      <c r="L73">
        <v>1</v>
      </c>
      <c r="M73">
        <v>1</v>
      </c>
      <c r="P73">
        <v>0</v>
      </c>
    </row>
    <row r="74" spans="1:16" x14ac:dyDescent="0.2">
      <c r="A74" s="2">
        <v>3</v>
      </c>
      <c r="B74" s="2" t="s">
        <v>22</v>
      </c>
      <c r="C74" t="s">
        <v>70</v>
      </c>
      <c r="D74" s="2">
        <v>114</v>
      </c>
      <c r="E74" s="2">
        <v>0.95</v>
      </c>
      <c r="F74" s="2" t="s">
        <v>39</v>
      </c>
      <c r="G74" s="2" t="s">
        <v>62</v>
      </c>
      <c r="H74" s="2">
        <v>0</v>
      </c>
      <c r="I74">
        <f t="shared" si="1"/>
        <v>0</v>
      </c>
      <c r="J74">
        <v>0</v>
      </c>
      <c r="L74">
        <v>0</v>
      </c>
      <c r="M74">
        <v>0</v>
      </c>
      <c r="P74">
        <v>0</v>
      </c>
    </row>
    <row r="75" spans="1:16" x14ac:dyDescent="0.2">
      <c r="A75" s="2">
        <v>4</v>
      </c>
      <c r="B75" s="2" t="s">
        <v>22</v>
      </c>
      <c r="C75" t="s">
        <v>70</v>
      </c>
      <c r="D75" s="2">
        <v>118</v>
      </c>
      <c r="E75" s="2">
        <v>0.95</v>
      </c>
      <c r="F75" s="2" t="s">
        <v>39</v>
      </c>
      <c r="G75" s="2" t="s">
        <v>63</v>
      </c>
      <c r="H75" s="2">
        <v>2</v>
      </c>
      <c r="I75">
        <f t="shared" si="1"/>
        <v>2</v>
      </c>
      <c r="J75">
        <v>2</v>
      </c>
      <c r="L75">
        <v>2</v>
      </c>
      <c r="M75">
        <v>2</v>
      </c>
      <c r="P75">
        <v>2</v>
      </c>
    </row>
    <row r="76" spans="1:16" x14ac:dyDescent="0.2">
      <c r="A76" s="2">
        <v>5</v>
      </c>
      <c r="B76" s="2" t="s">
        <v>22</v>
      </c>
      <c r="C76" t="s">
        <v>70</v>
      </c>
      <c r="D76" s="2">
        <v>114</v>
      </c>
      <c r="E76" s="2">
        <v>0.95</v>
      </c>
      <c r="F76" s="2" t="s">
        <v>39</v>
      </c>
      <c r="G76" s="2" t="s">
        <v>64</v>
      </c>
      <c r="H76" s="2">
        <v>0</v>
      </c>
      <c r="I76">
        <f t="shared" ref="I76:I139" si="2">AVERAGE(J76:P76)</f>
        <v>0</v>
      </c>
      <c r="J76">
        <v>0</v>
      </c>
      <c r="L76">
        <v>0</v>
      </c>
      <c r="M76">
        <v>0</v>
      </c>
      <c r="P76">
        <v>0</v>
      </c>
    </row>
    <row r="77" spans="1:16" x14ac:dyDescent="0.2">
      <c r="A77" s="2">
        <v>1</v>
      </c>
      <c r="B77" s="2" t="s">
        <v>23</v>
      </c>
      <c r="C77" t="s">
        <v>71</v>
      </c>
      <c r="D77" s="2">
        <v>68</v>
      </c>
      <c r="E77" s="2">
        <v>0.1</v>
      </c>
      <c r="F77" s="2" t="s">
        <v>35</v>
      </c>
      <c r="G77" s="2" t="s">
        <v>40</v>
      </c>
      <c r="H77" s="2">
        <v>3.75</v>
      </c>
      <c r="I77">
        <f t="shared" si="2"/>
        <v>3.75</v>
      </c>
      <c r="J77">
        <v>3</v>
      </c>
      <c r="K77">
        <v>3</v>
      </c>
      <c r="L77">
        <v>4</v>
      </c>
      <c r="M77">
        <v>5</v>
      </c>
    </row>
    <row r="78" spans="1:16" x14ac:dyDescent="0.2">
      <c r="A78" s="2">
        <v>2</v>
      </c>
      <c r="B78" s="2" t="s">
        <v>23</v>
      </c>
      <c r="C78" t="s">
        <v>71</v>
      </c>
      <c r="D78" s="2">
        <v>101</v>
      </c>
      <c r="E78" s="2">
        <v>0.51</v>
      </c>
      <c r="F78" s="2" t="s">
        <v>35</v>
      </c>
      <c r="G78" s="2" t="s">
        <v>41</v>
      </c>
      <c r="H78" s="2">
        <v>3.3333333333333335</v>
      </c>
      <c r="I78">
        <f t="shared" si="2"/>
        <v>3.3333333333333335</v>
      </c>
      <c r="J78">
        <v>4</v>
      </c>
      <c r="K78">
        <v>2</v>
      </c>
      <c r="L78">
        <v>4</v>
      </c>
      <c r="M78">
        <v>4</v>
      </c>
      <c r="N78">
        <v>4</v>
      </c>
      <c r="O78">
        <v>2</v>
      </c>
    </row>
    <row r="79" spans="1:16" x14ac:dyDescent="0.2">
      <c r="A79" s="2">
        <v>3</v>
      </c>
      <c r="B79" s="2" t="s">
        <v>23</v>
      </c>
      <c r="C79" t="s">
        <v>71</v>
      </c>
      <c r="D79" s="2">
        <v>118</v>
      </c>
      <c r="E79" s="2">
        <v>0.47</v>
      </c>
      <c r="F79" s="2" t="s">
        <v>35</v>
      </c>
      <c r="G79" s="2" t="s">
        <v>42</v>
      </c>
      <c r="H79" s="2">
        <v>0.25</v>
      </c>
      <c r="I79">
        <f t="shared" si="2"/>
        <v>0.25</v>
      </c>
      <c r="J79">
        <v>1</v>
      </c>
      <c r="K79">
        <v>0</v>
      </c>
      <c r="L79">
        <v>0</v>
      </c>
      <c r="M79">
        <v>0</v>
      </c>
    </row>
    <row r="80" spans="1:16" x14ac:dyDescent="0.2">
      <c r="A80" s="2">
        <v>4</v>
      </c>
      <c r="B80" s="2" t="s">
        <v>23</v>
      </c>
      <c r="C80" t="s">
        <v>71</v>
      </c>
      <c r="D80" s="2">
        <v>153</v>
      </c>
      <c r="E80" s="2">
        <v>1.1299999999999999</v>
      </c>
      <c r="F80" s="2" t="s">
        <v>35</v>
      </c>
      <c r="G80" s="2" t="s">
        <v>43</v>
      </c>
      <c r="H80" s="2">
        <v>2.1666666666666665</v>
      </c>
      <c r="I80">
        <f t="shared" si="2"/>
        <v>2.1666666666666665</v>
      </c>
      <c r="J80">
        <v>3</v>
      </c>
      <c r="K80">
        <v>2</v>
      </c>
      <c r="L80">
        <v>3</v>
      </c>
      <c r="M80">
        <v>3</v>
      </c>
      <c r="N80">
        <v>1</v>
      </c>
      <c r="O80">
        <v>1</v>
      </c>
    </row>
    <row r="81" spans="1:16" x14ac:dyDescent="0.2">
      <c r="A81" s="2">
        <v>5</v>
      </c>
      <c r="B81" s="2" t="s">
        <v>23</v>
      </c>
      <c r="C81" t="s">
        <v>71</v>
      </c>
      <c r="D81" s="2">
        <v>131</v>
      </c>
      <c r="E81" s="2">
        <v>0.84</v>
      </c>
      <c r="F81" s="2" t="s">
        <v>35</v>
      </c>
      <c r="G81" s="2" t="s">
        <v>44</v>
      </c>
      <c r="H81" s="2">
        <v>3</v>
      </c>
      <c r="I81">
        <f t="shared" si="2"/>
        <v>3</v>
      </c>
      <c r="J81">
        <v>3</v>
      </c>
      <c r="K81">
        <v>3</v>
      </c>
      <c r="L81">
        <v>3</v>
      </c>
      <c r="M81">
        <v>3</v>
      </c>
      <c r="N81">
        <v>3</v>
      </c>
      <c r="O81">
        <v>3</v>
      </c>
    </row>
    <row r="82" spans="1:16" x14ac:dyDescent="0.2">
      <c r="A82" s="2">
        <v>1</v>
      </c>
      <c r="B82" s="2" t="s">
        <v>23</v>
      </c>
      <c r="C82" t="s">
        <v>71</v>
      </c>
      <c r="D82" s="2">
        <v>133</v>
      </c>
      <c r="E82" s="2">
        <v>0.93</v>
      </c>
      <c r="F82" s="2" t="s">
        <v>36</v>
      </c>
      <c r="G82" s="2" t="s">
        <v>45</v>
      </c>
      <c r="H82" s="2">
        <v>3</v>
      </c>
      <c r="I82">
        <f t="shared" si="2"/>
        <v>3</v>
      </c>
      <c r="J82">
        <v>4</v>
      </c>
      <c r="K82">
        <v>4</v>
      </c>
      <c r="L82">
        <v>4</v>
      </c>
      <c r="M82">
        <v>4</v>
      </c>
      <c r="N82">
        <v>1</v>
      </c>
      <c r="O82">
        <v>1</v>
      </c>
    </row>
    <row r="83" spans="1:16" x14ac:dyDescent="0.2">
      <c r="A83" s="2">
        <v>2</v>
      </c>
      <c r="B83" s="2" t="s">
        <v>23</v>
      </c>
      <c r="C83" t="s">
        <v>71</v>
      </c>
      <c r="D83" s="2">
        <v>142</v>
      </c>
      <c r="E83" s="2">
        <v>0.88</v>
      </c>
      <c r="F83" s="2" t="s">
        <v>36</v>
      </c>
      <c r="G83" s="2" t="s">
        <v>46</v>
      </c>
      <c r="H83" s="2">
        <v>2.8333333333333335</v>
      </c>
      <c r="I83">
        <f t="shared" si="2"/>
        <v>2.8333333333333335</v>
      </c>
      <c r="J83">
        <v>3</v>
      </c>
      <c r="K83">
        <v>3</v>
      </c>
      <c r="L83">
        <v>3</v>
      </c>
      <c r="M83">
        <v>3</v>
      </c>
      <c r="N83">
        <v>3</v>
      </c>
      <c r="O83">
        <v>2</v>
      </c>
    </row>
    <row r="84" spans="1:16" x14ac:dyDescent="0.2">
      <c r="A84" s="2">
        <v>3</v>
      </c>
      <c r="B84" s="2" t="s">
        <v>23</v>
      </c>
      <c r="C84" t="s">
        <v>71</v>
      </c>
      <c r="D84" s="2">
        <v>74</v>
      </c>
      <c r="E84" s="2">
        <v>0.28000000000000003</v>
      </c>
      <c r="F84" s="2" t="s">
        <v>36</v>
      </c>
      <c r="G84" s="2" t="s">
        <v>47</v>
      </c>
      <c r="H84" s="2">
        <v>3.3333333333333335</v>
      </c>
      <c r="I84">
        <f t="shared" si="2"/>
        <v>3.3333333333333335</v>
      </c>
      <c r="J84">
        <v>4</v>
      </c>
      <c r="K84">
        <v>3</v>
      </c>
      <c r="L84">
        <v>4</v>
      </c>
      <c r="M84">
        <v>4</v>
      </c>
      <c r="N84">
        <v>3</v>
      </c>
      <c r="O84">
        <v>2</v>
      </c>
    </row>
    <row r="85" spans="1:16" x14ac:dyDescent="0.2">
      <c r="A85" s="2">
        <v>4</v>
      </c>
      <c r="B85" s="2" t="s">
        <v>23</v>
      </c>
      <c r="C85" t="s">
        <v>71</v>
      </c>
      <c r="D85" s="2">
        <v>102</v>
      </c>
      <c r="E85" s="2">
        <v>0.45</v>
      </c>
      <c r="F85" s="2" t="s">
        <v>36</v>
      </c>
      <c r="G85" s="2" t="s">
        <v>48</v>
      </c>
      <c r="H85" s="2">
        <v>3.5</v>
      </c>
      <c r="I85">
        <f t="shared" si="2"/>
        <v>3.5</v>
      </c>
      <c r="J85">
        <v>4</v>
      </c>
      <c r="K85">
        <v>4</v>
      </c>
      <c r="L85">
        <v>4</v>
      </c>
      <c r="M85">
        <v>4</v>
      </c>
      <c r="N85">
        <v>3</v>
      </c>
      <c r="O85">
        <v>2</v>
      </c>
    </row>
    <row r="86" spans="1:16" x14ac:dyDescent="0.2">
      <c r="A86" s="2">
        <v>5</v>
      </c>
      <c r="B86" s="2" t="s">
        <v>23</v>
      </c>
      <c r="C86" t="s">
        <v>71</v>
      </c>
      <c r="D86" s="2">
        <v>125</v>
      </c>
      <c r="E86" s="2">
        <v>0.9</v>
      </c>
      <c r="F86" s="2" t="s">
        <v>36</v>
      </c>
      <c r="G86" s="2" t="s">
        <v>49</v>
      </c>
      <c r="H86" s="2">
        <v>3.6666666666666665</v>
      </c>
      <c r="I86">
        <f t="shared" si="2"/>
        <v>3.6666666666666665</v>
      </c>
      <c r="J86">
        <v>4</v>
      </c>
      <c r="K86">
        <v>4</v>
      </c>
      <c r="L86">
        <v>4</v>
      </c>
      <c r="M86">
        <v>4</v>
      </c>
      <c r="N86">
        <v>3</v>
      </c>
      <c r="O86">
        <v>3</v>
      </c>
    </row>
    <row r="87" spans="1:16" x14ac:dyDescent="0.2">
      <c r="A87" s="2">
        <v>1</v>
      </c>
      <c r="B87" s="2" t="s">
        <v>23</v>
      </c>
      <c r="C87" t="s">
        <v>71</v>
      </c>
      <c r="D87" s="2">
        <v>105</v>
      </c>
      <c r="E87" s="2">
        <v>0.87</v>
      </c>
      <c r="F87" s="2" t="s">
        <v>37</v>
      </c>
      <c r="G87" s="2" t="s">
        <v>50</v>
      </c>
      <c r="H87" s="2">
        <v>2.3333333333333335</v>
      </c>
      <c r="I87">
        <f t="shared" si="2"/>
        <v>2.3333333333333335</v>
      </c>
      <c r="J87">
        <v>3</v>
      </c>
      <c r="L87">
        <v>3</v>
      </c>
      <c r="M87">
        <v>1</v>
      </c>
    </row>
    <row r="88" spans="1:16" x14ac:dyDescent="0.2">
      <c r="A88" s="2">
        <v>2</v>
      </c>
      <c r="B88" s="2" t="s">
        <v>23</v>
      </c>
      <c r="C88" t="s">
        <v>71</v>
      </c>
      <c r="D88" s="2">
        <v>130</v>
      </c>
      <c r="E88" s="2">
        <v>1.1000000000000001</v>
      </c>
      <c r="F88" s="2" t="s">
        <v>37</v>
      </c>
      <c r="G88" s="2" t="s">
        <v>51</v>
      </c>
      <c r="H88" s="2">
        <v>0</v>
      </c>
      <c r="I88">
        <f t="shared" si="2"/>
        <v>0</v>
      </c>
      <c r="J88">
        <v>0</v>
      </c>
      <c r="L88">
        <v>0</v>
      </c>
      <c r="M88">
        <v>0</v>
      </c>
    </row>
    <row r="89" spans="1:16" x14ac:dyDescent="0.2">
      <c r="A89" s="2">
        <v>3</v>
      </c>
      <c r="B89" s="2" t="s">
        <v>23</v>
      </c>
      <c r="C89" t="s">
        <v>71</v>
      </c>
      <c r="D89" s="2">
        <v>136</v>
      </c>
      <c r="E89" s="2">
        <v>1.1000000000000001</v>
      </c>
      <c r="F89" s="2" t="s">
        <v>37</v>
      </c>
      <c r="G89" s="2" t="s">
        <v>52</v>
      </c>
      <c r="H89" s="2">
        <v>1</v>
      </c>
      <c r="I89">
        <f t="shared" si="2"/>
        <v>1</v>
      </c>
      <c r="J89">
        <v>1</v>
      </c>
      <c r="L89">
        <v>1</v>
      </c>
      <c r="M89">
        <v>1</v>
      </c>
    </row>
    <row r="90" spans="1:16" x14ac:dyDescent="0.2">
      <c r="A90" s="2">
        <v>4</v>
      </c>
      <c r="B90" s="2" t="s">
        <v>23</v>
      </c>
      <c r="C90" t="s">
        <v>71</v>
      </c>
      <c r="D90" s="2">
        <v>86</v>
      </c>
      <c r="E90" s="2">
        <v>0.68</v>
      </c>
      <c r="F90" s="2" t="s">
        <v>37</v>
      </c>
      <c r="G90" s="2" t="s">
        <v>53</v>
      </c>
      <c r="H90" s="2">
        <v>0</v>
      </c>
      <c r="I90">
        <f t="shared" si="2"/>
        <v>0</v>
      </c>
      <c r="J90">
        <v>0</v>
      </c>
      <c r="L90">
        <v>0</v>
      </c>
      <c r="M90">
        <v>0</v>
      </c>
    </row>
    <row r="91" spans="1:16" x14ac:dyDescent="0.2">
      <c r="A91" s="2">
        <v>5</v>
      </c>
      <c r="B91" s="2" t="s">
        <v>23</v>
      </c>
      <c r="C91" t="s">
        <v>71</v>
      </c>
      <c r="D91" s="2">
        <v>76</v>
      </c>
      <c r="E91" s="2">
        <v>0.51</v>
      </c>
      <c r="F91" s="2" t="s">
        <v>37</v>
      </c>
      <c r="G91" s="2" t="s">
        <v>54</v>
      </c>
      <c r="H91" s="2">
        <v>1.3333333333333333</v>
      </c>
      <c r="I91">
        <f t="shared" si="2"/>
        <v>1.3333333333333333</v>
      </c>
      <c r="J91">
        <v>1</v>
      </c>
      <c r="L91">
        <v>2</v>
      </c>
      <c r="M91">
        <v>1</v>
      </c>
    </row>
    <row r="92" spans="1:16" x14ac:dyDescent="0.2">
      <c r="A92" s="2">
        <v>1</v>
      </c>
      <c r="B92" s="2" t="s">
        <v>23</v>
      </c>
      <c r="C92" t="s">
        <v>71</v>
      </c>
      <c r="D92" s="2">
        <v>140</v>
      </c>
      <c r="E92" s="2">
        <v>1.1299999999999999</v>
      </c>
      <c r="F92" s="2" t="s">
        <v>38</v>
      </c>
      <c r="G92" s="2" t="s">
        <v>55</v>
      </c>
      <c r="H92" s="2">
        <v>4</v>
      </c>
      <c r="I92">
        <f t="shared" si="2"/>
        <v>4</v>
      </c>
      <c r="J92">
        <v>4</v>
      </c>
      <c r="L92">
        <v>4</v>
      </c>
      <c r="M92">
        <v>4</v>
      </c>
      <c r="P92">
        <v>4</v>
      </c>
    </row>
    <row r="93" spans="1:16" x14ac:dyDescent="0.2">
      <c r="A93" s="2">
        <v>2</v>
      </c>
      <c r="B93" s="2" t="s">
        <v>23</v>
      </c>
      <c r="C93" t="s">
        <v>71</v>
      </c>
      <c r="D93" s="2">
        <v>142</v>
      </c>
      <c r="E93" s="2">
        <v>1.03</v>
      </c>
      <c r="F93" s="2" t="s">
        <v>38</v>
      </c>
      <c r="G93" s="2" t="s">
        <v>56</v>
      </c>
      <c r="H93" s="2">
        <v>4</v>
      </c>
      <c r="I93">
        <f t="shared" si="2"/>
        <v>4</v>
      </c>
      <c r="J93">
        <v>4</v>
      </c>
      <c r="L93">
        <v>4</v>
      </c>
      <c r="M93">
        <v>4</v>
      </c>
      <c r="P93">
        <v>4</v>
      </c>
    </row>
    <row r="94" spans="1:16" x14ac:dyDescent="0.2">
      <c r="A94" s="2">
        <v>3</v>
      </c>
      <c r="B94" s="2" t="s">
        <v>23</v>
      </c>
      <c r="C94" t="s">
        <v>71</v>
      </c>
      <c r="D94" s="2">
        <v>105</v>
      </c>
      <c r="E94" s="2">
        <v>0.71</v>
      </c>
      <c r="F94" s="2" t="s">
        <v>38</v>
      </c>
      <c r="G94" s="2" t="s">
        <v>57</v>
      </c>
      <c r="H94" s="2">
        <v>3.25</v>
      </c>
      <c r="I94">
        <f t="shared" si="2"/>
        <v>3.25</v>
      </c>
      <c r="J94">
        <v>3</v>
      </c>
      <c r="L94">
        <v>3</v>
      </c>
      <c r="M94">
        <v>3</v>
      </c>
      <c r="P94">
        <v>4</v>
      </c>
    </row>
    <row r="95" spans="1:16" x14ac:dyDescent="0.2">
      <c r="A95" s="2">
        <v>4</v>
      </c>
      <c r="B95" s="2" t="s">
        <v>23</v>
      </c>
      <c r="C95" t="s">
        <v>71</v>
      </c>
      <c r="D95" s="2">
        <v>83</v>
      </c>
      <c r="E95" s="2">
        <v>0.61</v>
      </c>
      <c r="F95" s="2" t="s">
        <v>38</v>
      </c>
      <c r="G95" s="2" t="s">
        <v>58</v>
      </c>
      <c r="H95" s="2">
        <v>2.5</v>
      </c>
      <c r="I95">
        <f t="shared" si="2"/>
        <v>2.5</v>
      </c>
      <c r="J95">
        <v>2</v>
      </c>
      <c r="L95">
        <v>3</v>
      </c>
      <c r="M95">
        <v>2</v>
      </c>
      <c r="P95">
        <v>3</v>
      </c>
    </row>
    <row r="96" spans="1:16" x14ac:dyDescent="0.2">
      <c r="A96" s="2">
        <v>5</v>
      </c>
      <c r="B96" s="2" t="s">
        <v>23</v>
      </c>
      <c r="C96" t="s">
        <v>71</v>
      </c>
      <c r="D96" s="2">
        <v>102</v>
      </c>
      <c r="E96" s="2">
        <v>0.69</v>
      </c>
      <c r="F96" s="2" t="s">
        <v>38</v>
      </c>
      <c r="G96" s="2" t="s">
        <v>59</v>
      </c>
      <c r="H96" s="2">
        <v>2.25</v>
      </c>
      <c r="I96">
        <f t="shared" si="2"/>
        <v>2.25</v>
      </c>
      <c r="J96">
        <v>3</v>
      </c>
      <c r="L96">
        <v>2</v>
      </c>
      <c r="M96">
        <v>1</v>
      </c>
      <c r="P96">
        <v>3</v>
      </c>
    </row>
    <row r="97" spans="1:16" x14ac:dyDescent="0.2">
      <c r="A97" s="2">
        <v>1</v>
      </c>
      <c r="B97" s="2" t="s">
        <v>23</v>
      </c>
      <c r="C97" t="s">
        <v>71</v>
      </c>
      <c r="D97" s="2">
        <v>121</v>
      </c>
      <c r="E97" s="2">
        <v>1.1000000000000001</v>
      </c>
      <c r="F97" s="2" t="s">
        <v>39</v>
      </c>
      <c r="G97" s="2" t="s">
        <v>60</v>
      </c>
      <c r="H97" s="2">
        <v>2.75</v>
      </c>
      <c r="I97">
        <f t="shared" si="2"/>
        <v>2.75</v>
      </c>
      <c r="J97">
        <v>3</v>
      </c>
      <c r="L97">
        <v>2</v>
      </c>
      <c r="M97">
        <v>3</v>
      </c>
      <c r="P97">
        <v>3</v>
      </c>
    </row>
    <row r="98" spans="1:16" x14ac:dyDescent="0.2">
      <c r="A98" s="2">
        <v>2</v>
      </c>
      <c r="B98" s="2" t="s">
        <v>23</v>
      </c>
      <c r="C98" t="s">
        <v>71</v>
      </c>
      <c r="D98" s="2">
        <v>130</v>
      </c>
      <c r="E98" s="2">
        <v>1.1000000000000001</v>
      </c>
      <c r="F98" s="2" t="s">
        <v>39</v>
      </c>
      <c r="G98" s="2" t="s">
        <v>61</v>
      </c>
      <c r="H98" s="2">
        <v>2.75</v>
      </c>
      <c r="I98">
        <f t="shared" si="2"/>
        <v>2.75</v>
      </c>
      <c r="J98">
        <v>3</v>
      </c>
      <c r="L98">
        <v>2</v>
      </c>
      <c r="M98">
        <v>3</v>
      </c>
      <c r="P98">
        <v>3</v>
      </c>
    </row>
    <row r="99" spans="1:16" x14ac:dyDescent="0.2">
      <c r="A99" s="2">
        <v>3</v>
      </c>
      <c r="B99" s="2" t="s">
        <v>23</v>
      </c>
      <c r="C99" t="s">
        <v>71</v>
      </c>
      <c r="D99" s="2">
        <v>121</v>
      </c>
      <c r="E99" s="2">
        <v>1.1000000000000001</v>
      </c>
      <c r="F99" s="2" t="s">
        <v>39</v>
      </c>
      <c r="G99" s="2" t="s">
        <v>62</v>
      </c>
      <c r="H99" s="2">
        <v>2.5</v>
      </c>
      <c r="I99">
        <f t="shared" si="2"/>
        <v>2.5</v>
      </c>
      <c r="J99">
        <v>2</v>
      </c>
      <c r="L99">
        <v>2</v>
      </c>
      <c r="M99">
        <v>3</v>
      </c>
      <c r="P99">
        <v>3</v>
      </c>
    </row>
    <row r="100" spans="1:16" x14ac:dyDescent="0.2">
      <c r="A100" s="2">
        <v>4</v>
      </c>
      <c r="B100" s="2" t="s">
        <v>23</v>
      </c>
      <c r="C100" t="s">
        <v>71</v>
      </c>
      <c r="D100" s="2">
        <v>125</v>
      </c>
      <c r="E100" s="2">
        <v>1.1000000000000001</v>
      </c>
      <c r="F100" s="2" t="s">
        <v>39</v>
      </c>
      <c r="G100" s="2" t="s">
        <v>63</v>
      </c>
      <c r="H100" s="2">
        <v>2</v>
      </c>
      <c r="I100">
        <f t="shared" si="2"/>
        <v>2</v>
      </c>
      <c r="J100">
        <v>2</v>
      </c>
      <c r="L100">
        <v>2</v>
      </c>
      <c r="M100">
        <v>2</v>
      </c>
      <c r="P100">
        <v>2</v>
      </c>
    </row>
    <row r="101" spans="1:16" x14ac:dyDescent="0.2">
      <c r="A101" s="2">
        <v>5</v>
      </c>
      <c r="B101" s="2" t="s">
        <v>23</v>
      </c>
      <c r="C101" t="s">
        <v>71</v>
      </c>
      <c r="D101" s="2">
        <v>71</v>
      </c>
      <c r="E101" s="2">
        <v>0.59</v>
      </c>
      <c r="F101" s="2" t="s">
        <v>39</v>
      </c>
      <c r="G101" s="2" t="s">
        <v>64</v>
      </c>
      <c r="H101" s="2">
        <v>3</v>
      </c>
      <c r="I101">
        <f t="shared" si="2"/>
        <v>3</v>
      </c>
      <c r="J101">
        <v>3</v>
      </c>
      <c r="L101">
        <v>3</v>
      </c>
      <c r="M101">
        <v>3</v>
      </c>
      <c r="P101">
        <v>3</v>
      </c>
    </row>
    <row r="102" spans="1:16" x14ac:dyDescent="0.2">
      <c r="A102" s="2">
        <v>1</v>
      </c>
      <c r="B102" s="2" t="s">
        <v>24</v>
      </c>
      <c r="C102" t="s">
        <v>71</v>
      </c>
      <c r="D102" s="2">
        <v>50</v>
      </c>
      <c r="E102" s="2">
        <v>0.04</v>
      </c>
      <c r="F102" s="2" t="s">
        <v>35</v>
      </c>
      <c r="G102" s="2" t="s">
        <v>40</v>
      </c>
      <c r="H102" s="2">
        <v>3.75</v>
      </c>
      <c r="I102">
        <f t="shared" si="2"/>
        <v>3.75</v>
      </c>
      <c r="J102">
        <v>3</v>
      </c>
      <c r="K102">
        <v>3</v>
      </c>
      <c r="L102">
        <v>4</v>
      </c>
      <c r="M102">
        <v>5</v>
      </c>
    </row>
    <row r="103" spans="1:16" x14ac:dyDescent="0.2">
      <c r="A103" s="2">
        <v>2</v>
      </c>
      <c r="B103" s="2" t="s">
        <v>24</v>
      </c>
      <c r="C103" t="s">
        <v>71</v>
      </c>
      <c r="D103" s="2">
        <v>151</v>
      </c>
      <c r="E103" s="2">
        <v>1.06</v>
      </c>
      <c r="F103" s="2" t="s">
        <v>35</v>
      </c>
      <c r="G103" s="2" t="s">
        <v>41</v>
      </c>
      <c r="H103" s="2">
        <v>3</v>
      </c>
      <c r="I103">
        <f t="shared" si="2"/>
        <v>3</v>
      </c>
      <c r="J103">
        <v>4</v>
      </c>
      <c r="K103">
        <v>1</v>
      </c>
      <c r="L103">
        <v>4</v>
      </c>
      <c r="M103">
        <v>4</v>
      </c>
      <c r="N103">
        <v>4</v>
      </c>
      <c r="O103">
        <v>1</v>
      </c>
    </row>
    <row r="104" spans="1:16" x14ac:dyDescent="0.2">
      <c r="A104" s="2">
        <v>3</v>
      </c>
      <c r="B104" s="2" t="s">
        <v>24</v>
      </c>
      <c r="C104" t="s">
        <v>71</v>
      </c>
      <c r="D104" s="2">
        <v>138</v>
      </c>
      <c r="E104" s="2">
        <v>0.82</v>
      </c>
      <c r="F104" s="2" t="s">
        <v>35</v>
      </c>
      <c r="G104" s="2" t="s">
        <v>42</v>
      </c>
      <c r="H104" s="2">
        <v>2.3333333333333335</v>
      </c>
      <c r="I104">
        <f t="shared" si="2"/>
        <v>2.3333333333333335</v>
      </c>
      <c r="J104">
        <v>3</v>
      </c>
      <c r="K104">
        <v>1</v>
      </c>
      <c r="L104">
        <v>2</v>
      </c>
      <c r="M104">
        <v>2</v>
      </c>
      <c r="N104">
        <v>3</v>
      </c>
      <c r="O104">
        <v>3</v>
      </c>
    </row>
    <row r="105" spans="1:16" x14ac:dyDescent="0.2">
      <c r="A105" s="2">
        <v>4</v>
      </c>
      <c r="B105" s="2" t="s">
        <v>24</v>
      </c>
      <c r="C105" t="s">
        <v>71</v>
      </c>
      <c r="D105" s="2">
        <v>89</v>
      </c>
      <c r="E105" s="2">
        <v>0.55000000000000004</v>
      </c>
      <c r="F105" s="2" t="s">
        <v>35</v>
      </c>
      <c r="G105" s="2" t="s">
        <v>43</v>
      </c>
      <c r="H105" s="2">
        <v>3.1666666666666665</v>
      </c>
      <c r="I105">
        <f t="shared" si="2"/>
        <v>3.1666666666666665</v>
      </c>
      <c r="J105">
        <v>3</v>
      </c>
      <c r="K105">
        <v>3</v>
      </c>
      <c r="L105">
        <v>3</v>
      </c>
      <c r="M105">
        <v>3</v>
      </c>
      <c r="N105">
        <v>4</v>
      </c>
      <c r="O105">
        <v>3</v>
      </c>
    </row>
    <row r="106" spans="1:16" x14ac:dyDescent="0.2">
      <c r="A106" s="2">
        <v>5</v>
      </c>
      <c r="B106" s="2" t="s">
        <v>24</v>
      </c>
      <c r="C106" t="s">
        <v>71</v>
      </c>
      <c r="D106" s="2">
        <v>51</v>
      </c>
      <c r="E106" s="2">
        <v>7.0000000000000007E-2</v>
      </c>
      <c r="F106" s="2" t="s">
        <v>35</v>
      </c>
      <c r="G106" s="2" t="s">
        <v>44</v>
      </c>
      <c r="H106" s="2">
        <v>4.75</v>
      </c>
      <c r="I106">
        <f t="shared" si="2"/>
        <v>4.75</v>
      </c>
      <c r="J106">
        <v>5</v>
      </c>
      <c r="K106">
        <v>4</v>
      </c>
      <c r="L106">
        <v>5</v>
      </c>
      <c r="M106">
        <v>5</v>
      </c>
    </row>
    <row r="107" spans="1:16" x14ac:dyDescent="0.2">
      <c r="A107" s="2">
        <v>1</v>
      </c>
      <c r="B107" s="2" t="s">
        <v>24</v>
      </c>
      <c r="C107" t="s">
        <v>71</v>
      </c>
      <c r="D107" s="2">
        <v>100</v>
      </c>
      <c r="E107" s="2">
        <v>0.59</v>
      </c>
      <c r="F107" s="2" t="s">
        <v>36</v>
      </c>
      <c r="G107" s="2" t="s">
        <v>45</v>
      </c>
      <c r="H107" s="2">
        <v>4</v>
      </c>
      <c r="I107">
        <f t="shared" si="2"/>
        <v>4</v>
      </c>
      <c r="J107">
        <v>4</v>
      </c>
      <c r="K107">
        <v>4</v>
      </c>
      <c r="L107">
        <v>4</v>
      </c>
      <c r="M107">
        <v>4</v>
      </c>
    </row>
    <row r="108" spans="1:16" x14ac:dyDescent="0.2">
      <c r="A108" s="2">
        <v>2</v>
      </c>
      <c r="B108" s="2" t="s">
        <v>24</v>
      </c>
      <c r="C108" t="s">
        <v>71</v>
      </c>
      <c r="D108" s="2">
        <v>108</v>
      </c>
      <c r="E108" s="2">
        <v>0.57999999999999996</v>
      </c>
      <c r="F108" s="2" t="s">
        <v>36</v>
      </c>
      <c r="G108" s="2" t="s">
        <v>46</v>
      </c>
      <c r="H108" s="2">
        <v>2.3333333333333335</v>
      </c>
      <c r="I108">
        <f t="shared" si="2"/>
        <v>2.3333333333333335</v>
      </c>
      <c r="J108">
        <v>3</v>
      </c>
      <c r="K108">
        <v>3</v>
      </c>
      <c r="L108">
        <v>3</v>
      </c>
      <c r="M108">
        <v>3</v>
      </c>
      <c r="N108">
        <v>1</v>
      </c>
      <c r="O108">
        <v>1</v>
      </c>
    </row>
    <row r="109" spans="1:16" x14ac:dyDescent="0.2">
      <c r="A109" s="2">
        <v>3</v>
      </c>
      <c r="B109" s="2" t="s">
        <v>24</v>
      </c>
      <c r="C109" t="s">
        <v>71</v>
      </c>
      <c r="D109" s="2">
        <v>126</v>
      </c>
      <c r="E109" s="2">
        <v>0.85</v>
      </c>
      <c r="F109" s="2" t="s">
        <v>36</v>
      </c>
      <c r="G109" s="2" t="s">
        <v>47</v>
      </c>
      <c r="H109" s="2">
        <v>3.5</v>
      </c>
      <c r="I109">
        <f t="shared" si="2"/>
        <v>3.5</v>
      </c>
      <c r="J109">
        <v>4</v>
      </c>
      <c r="K109">
        <v>3</v>
      </c>
      <c r="L109">
        <v>4</v>
      </c>
      <c r="M109">
        <v>4</v>
      </c>
      <c r="N109">
        <v>3</v>
      </c>
      <c r="O109">
        <v>3</v>
      </c>
    </row>
    <row r="110" spans="1:16" x14ac:dyDescent="0.2">
      <c r="A110" s="2">
        <v>4</v>
      </c>
      <c r="B110" s="2" t="s">
        <v>24</v>
      </c>
      <c r="C110" t="s">
        <v>71</v>
      </c>
      <c r="D110" s="2">
        <v>151</v>
      </c>
      <c r="E110" s="2">
        <v>1.06</v>
      </c>
      <c r="F110" s="2" t="s">
        <v>36</v>
      </c>
      <c r="G110" s="2" t="s">
        <v>48</v>
      </c>
      <c r="H110" s="2">
        <v>3.6666666666666665</v>
      </c>
      <c r="I110">
        <f t="shared" si="2"/>
        <v>3.6666666666666665</v>
      </c>
      <c r="J110">
        <v>4</v>
      </c>
      <c r="K110">
        <v>4</v>
      </c>
      <c r="L110">
        <v>4</v>
      </c>
      <c r="M110">
        <v>4</v>
      </c>
      <c r="N110">
        <v>3</v>
      </c>
      <c r="O110">
        <v>3</v>
      </c>
    </row>
    <row r="111" spans="1:16" x14ac:dyDescent="0.2">
      <c r="A111" s="2">
        <v>5</v>
      </c>
      <c r="B111" s="2" t="s">
        <v>24</v>
      </c>
      <c r="C111" t="s">
        <v>71</v>
      </c>
      <c r="D111" s="2">
        <v>86</v>
      </c>
      <c r="E111" s="2">
        <v>0.51</v>
      </c>
      <c r="F111" s="2" t="s">
        <v>36</v>
      </c>
      <c r="G111" s="2" t="s">
        <v>49</v>
      </c>
      <c r="H111" s="2">
        <v>3.6666666666666665</v>
      </c>
      <c r="I111">
        <f t="shared" si="2"/>
        <v>3.6666666666666665</v>
      </c>
      <c r="J111">
        <v>4</v>
      </c>
      <c r="K111">
        <v>4</v>
      </c>
      <c r="L111">
        <v>4</v>
      </c>
      <c r="M111">
        <v>4</v>
      </c>
      <c r="N111">
        <v>3</v>
      </c>
      <c r="O111">
        <v>3</v>
      </c>
    </row>
    <row r="112" spans="1:16" x14ac:dyDescent="0.2">
      <c r="A112" s="2">
        <v>1</v>
      </c>
      <c r="B112" s="2" t="s">
        <v>24</v>
      </c>
      <c r="C112" t="s">
        <v>71</v>
      </c>
      <c r="D112" s="2">
        <v>52</v>
      </c>
      <c r="E112" s="2">
        <v>0.33</v>
      </c>
      <c r="F112" s="2" t="s">
        <v>37</v>
      </c>
      <c r="G112" s="2" t="s">
        <v>50</v>
      </c>
      <c r="H112" s="2">
        <v>3.6666666666666665</v>
      </c>
      <c r="I112">
        <f t="shared" si="2"/>
        <v>3.6666666666666665</v>
      </c>
      <c r="J112">
        <v>3</v>
      </c>
      <c r="L112">
        <v>4</v>
      </c>
      <c r="M112">
        <v>4</v>
      </c>
    </row>
    <row r="113" spans="1:16" x14ac:dyDescent="0.2">
      <c r="A113" s="2">
        <v>2</v>
      </c>
      <c r="B113" s="2" t="s">
        <v>24</v>
      </c>
      <c r="C113" t="s">
        <v>71</v>
      </c>
      <c r="D113" s="2">
        <v>73</v>
      </c>
      <c r="E113" s="2">
        <v>0.52</v>
      </c>
      <c r="F113" s="2" t="s">
        <v>37</v>
      </c>
      <c r="G113" s="2" t="s">
        <v>51</v>
      </c>
      <c r="H113" s="2">
        <v>3</v>
      </c>
      <c r="I113">
        <f t="shared" si="2"/>
        <v>3</v>
      </c>
      <c r="J113">
        <v>3</v>
      </c>
      <c r="L113">
        <v>4</v>
      </c>
      <c r="M113">
        <v>2</v>
      </c>
    </row>
    <row r="114" spans="1:16" x14ac:dyDescent="0.2">
      <c r="A114" s="2">
        <v>3</v>
      </c>
      <c r="B114" s="2" t="s">
        <v>24</v>
      </c>
      <c r="C114" t="s">
        <v>71</v>
      </c>
      <c r="D114" s="2">
        <v>129</v>
      </c>
      <c r="E114" s="2">
        <v>1.03</v>
      </c>
      <c r="F114" s="2" t="s">
        <v>37</v>
      </c>
      <c r="G114" s="2" t="s">
        <v>52</v>
      </c>
      <c r="H114" s="2">
        <v>2.3333333333333335</v>
      </c>
      <c r="I114">
        <f t="shared" si="2"/>
        <v>2.3333333333333335</v>
      </c>
      <c r="J114">
        <v>2</v>
      </c>
      <c r="L114">
        <v>1</v>
      </c>
      <c r="M114">
        <v>4</v>
      </c>
    </row>
    <row r="115" spans="1:16" x14ac:dyDescent="0.2">
      <c r="A115" s="2">
        <v>4</v>
      </c>
      <c r="B115" s="2" t="s">
        <v>24</v>
      </c>
      <c r="C115" t="s">
        <v>71</v>
      </c>
      <c r="D115" s="2">
        <v>54</v>
      </c>
      <c r="E115" s="2">
        <v>0.37</v>
      </c>
      <c r="F115" s="2" t="s">
        <v>37</v>
      </c>
      <c r="G115" s="2" t="s">
        <v>53</v>
      </c>
      <c r="H115" s="2">
        <v>1</v>
      </c>
      <c r="I115">
        <f t="shared" si="2"/>
        <v>1</v>
      </c>
      <c r="J115">
        <v>1</v>
      </c>
      <c r="L115">
        <v>1</v>
      </c>
      <c r="M115">
        <v>1</v>
      </c>
    </row>
    <row r="116" spans="1:16" x14ac:dyDescent="0.2">
      <c r="A116" s="2">
        <v>5</v>
      </c>
      <c r="B116" s="2" t="s">
        <v>24</v>
      </c>
      <c r="C116" t="s">
        <v>71</v>
      </c>
      <c r="D116" s="2">
        <v>120</v>
      </c>
      <c r="E116" s="2">
        <v>0.98</v>
      </c>
      <c r="F116" s="2" t="s">
        <v>37</v>
      </c>
      <c r="G116" s="2" t="s">
        <v>54</v>
      </c>
      <c r="H116" s="2">
        <v>3</v>
      </c>
      <c r="I116">
        <f t="shared" si="2"/>
        <v>3</v>
      </c>
      <c r="J116">
        <v>3</v>
      </c>
      <c r="L116">
        <v>3</v>
      </c>
      <c r="M116">
        <v>3</v>
      </c>
    </row>
    <row r="117" spans="1:16" x14ac:dyDescent="0.2">
      <c r="A117" s="2">
        <v>1</v>
      </c>
      <c r="B117" s="2" t="s">
        <v>24</v>
      </c>
      <c r="C117" t="s">
        <v>71</v>
      </c>
      <c r="D117" s="2">
        <v>94</v>
      </c>
      <c r="E117" s="2">
        <v>0.69</v>
      </c>
      <c r="F117" s="2" t="s">
        <v>38</v>
      </c>
      <c r="G117" s="2" t="s">
        <v>55</v>
      </c>
      <c r="H117" s="2">
        <v>4</v>
      </c>
      <c r="I117">
        <f t="shared" si="2"/>
        <v>4</v>
      </c>
      <c r="J117">
        <v>4</v>
      </c>
      <c r="L117">
        <v>4</v>
      </c>
      <c r="M117">
        <v>4</v>
      </c>
      <c r="P117">
        <v>4</v>
      </c>
    </row>
    <row r="118" spans="1:16" x14ac:dyDescent="0.2">
      <c r="A118" s="2">
        <v>2</v>
      </c>
      <c r="B118" s="2" t="s">
        <v>24</v>
      </c>
      <c r="C118" t="s">
        <v>71</v>
      </c>
      <c r="D118" s="2">
        <v>84</v>
      </c>
      <c r="E118" s="2">
        <v>0.45</v>
      </c>
      <c r="F118" s="2" t="s">
        <v>38</v>
      </c>
      <c r="G118" s="2" t="s">
        <v>56</v>
      </c>
      <c r="H118" s="2">
        <v>4</v>
      </c>
      <c r="I118">
        <f t="shared" si="2"/>
        <v>4</v>
      </c>
      <c r="J118">
        <v>4</v>
      </c>
      <c r="L118">
        <v>4</v>
      </c>
      <c r="M118">
        <v>4</v>
      </c>
      <c r="P118">
        <v>4</v>
      </c>
    </row>
    <row r="119" spans="1:16" x14ac:dyDescent="0.2">
      <c r="A119" s="2">
        <v>3</v>
      </c>
      <c r="B119" s="2" t="s">
        <v>24</v>
      </c>
      <c r="C119" t="s">
        <v>71</v>
      </c>
      <c r="D119" s="2">
        <v>85</v>
      </c>
      <c r="E119" s="2">
        <v>0.57999999999999996</v>
      </c>
      <c r="F119" s="2" t="s">
        <v>38</v>
      </c>
      <c r="G119" s="2" t="s">
        <v>57</v>
      </c>
      <c r="H119" s="2">
        <v>3.25</v>
      </c>
      <c r="I119">
        <f t="shared" si="2"/>
        <v>3.25</v>
      </c>
      <c r="J119">
        <v>3</v>
      </c>
      <c r="L119">
        <v>3</v>
      </c>
      <c r="M119">
        <v>3</v>
      </c>
      <c r="P119">
        <v>4</v>
      </c>
    </row>
    <row r="120" spans="1:16" x14ac:dyDescent="0.2">
      <c r="A120" s="2">
        <v>4</v>
      </c>
      <c r="B120" s="2" t="s">
        <v>24</v>
      </c>
      <c r="C120" t="s">
        <v>71</v>
      </c>
      <c r="D120" s="2">
        <v>52</v>
      </c>
      <c r="E120" s="2">
        <v>0.3</v>
      </c>
      <c r="F120" s="2" t="s">
        <v>38</v>
      </c>
      <c r="G120" s="2" t="s">
        <v>58</v>
      </c>
      <c r="H120" s="2">
        <v>3</v>
      </c>
      <c r="I120">
        <f t="shared" si="2"/>
        <v>3</v>
      </c>
      <c r="J120">
        <v>3</v>
      </c>
      <c r="L120">
        <v>3</v>
      </c>
      <c r="M120">
        <v>3</v>
      </c>
      <c r="P120">
        <v>3</v>
      </c>
    </row>
    <row r="121" spans="1:16" x14ac:dyDescent="0.2">
      <c r="A121" s="2">
        <v>5</v>
      </c>
      <c r="B121" s="2" t="s">
        <v>24</v>
      </c>
      <c r="C121" t="s">
        <v>71</v>
      </c>
      <c r="D121" s="2">
        <v>66</v>
      </c>
      <c r="E121" s="2">
        <v>0.35</v>
      </c>
      <c r="F121" s="2" t="s">
        <v>38</v>
      </c>
      <c r="G121" s="2" t="s">
        <v>59</v>
      </c>
      <c r="H121" s="2">
        <v>3</v>
      </c>
      <c r="I121">
        <f t="shared" si="2"/>
        <v>3</v>
      </c>
      <c r="J121">
        <v>3</v>
      </c>
      <c r="L121">
        <v>3</v>
      </c>
      <c r="M121">
        <v>3</v>
      </c>
      <c r="P121">
        <v>3</v>
      </c>
    </row>
    <row r="122" spans="1:16" x14ac:dyDescent="0.2">
      <c r="A122" s="2">
        <v>1</v>
      </c>
      <c r="B122" s="2" t="s">
        <v>24</v>
      </c>
      <c r="C122" t="s">
        <v>71</v>
      </c>
      <c r="D122" s="2">
        <v>94</v>
      </c>
      <c r="E122" s="2">
        <v>0.82</v>
      </c>
      <c r="F122" s="2" t="s">
        <v>39</v>
      </c>
      <c r="G122" s="2" t="s">
        <v>60</v>
      </c>
      <c r="H122" s="2">
        <v>3.25</v>
      </c>
      <c r="I122">
        <f t="shared" si="2"/>
        <v>3.25</v>
      </c>
      <c r="J122">
        <v>3</v>
      </c>
      <c r="L122">
        <v>3</v>
      </c>
      <c r="M122">
        <v>3</v>
      </c>
      <c r="P122">
        <v>4</v>
      </c>
    </row>
    <row r="123" spans="1:16" x14ac:dyDescent="0.2">
      <c r="A123" s="2">
        <v>2</v>
      </c>
      <c r="B123" s="2" t="s">
        <v>24</v>
      </c>
      <c r="C123" t="s">
        <v>71</v>
      </c>
      <c r="D123" s="2">
        <v>124</v>
      </c>
      <c r="E123" s="2">
        <v>1.03</v>
      </c>
      <c r="F123" s="2" t="s">
        <v>39</v>
      </c>
      <c r="G123" s="2" t="s">
        <v>61</v>
      </c>
      <c r="H123" s="2">
        <v>2.75</v>
      </c>
      <c r="I123">
        <f t="shared" si="2"/>
        <v>2.75</v>
      </c>
      <c r="J123">
        <v>3</v>
      </c>
      <c r="L123">
        <v>2</v>
      </c>
      <c r="M123">
        <v>3</v>
      </c>
      <c r="P123">
        <v>3</v>
      </c>
    </row>
    <row r="124" spans="1:16" x14ac:dyDescent="0.2">
      <c r="A124" s="2">
        <v>3</v>
      </c>
      <c r="B124" s="2" t="s">
        <v>24</v>
      </c>
      <c r="C124" t="s">
        <v>71</v>
      </c>
      <c r="D124" s="2">
        <v>115</v>
      </c>
      <c r="E124" s="2">
        <v>1.03</v>
      </c>
      <c r="F124" s="2" t="s">
        <v>39</v>
      </c>
      <c r="G124" s="2" t="s">
        <v>62</v>
      </c>
      <c r="H124" s="2">
        <v>3.75</v>
      </c>
      <c r="I124">
        <f t="shared" si="2"/>
        <v>3.75</v>
      </c>
      <c r="J124">
        <v>4</v>
      </c>
      <c r="L124">
        <v>4</v>
      </c>
      <c r="M124">
        <v>4</v>
      </c>
      <c r="P124">
        <v>3</v>
      </c>
    </row>
    <row r="125" spans="1:16" x14ac:dyDescent="0.2">
      <c r="A125" s="2">
        <v>4</v>
      </c>
      <c r="B125" s="2" t="s">
        <v>24</v>
      </c>
      <c r="C125" t="s">
        <v>71</v>
      </c>
      <c r="D125" s="2">
        <v>70</v>
      </c>
      <c r="E125" s="2">
        <v>0.52</v>
      </c>
      <c r="F125" s="2" t="s">
        <v>39</v>
      </c>
      <c r="G125" s="2" t="s">
        <v>63</v>
      </c>
      <c r="H125" s="2">
        <v>4</v>
      </c>
      <c r="I125">
        <f t="shared" si="2"/>
        <v>4</v>
      </c>
      <c r="J125">
        <v>4</v>
      </c>
      <c r="L125">
        <v>4</v>
      </c>
      <c r="M125">
        <v>4</v>
      </c>
      <c r="P125">
        <v>4</v>
      </c>
    </row>
    <row r="126" spans="1:16" x14ac:dyDescent="0.2">
      <c r="A126" s="2">
        <v>5</v>
      </c>
      <c r="B126" s="2" t="s">
        <v>24</v>
      </c>
      <c r="C126" t="s">
        <v>71</v>
      </c>
      <c r="D126" s="2">
        <v>82</v>
      </c>
      <c r="E126" s="2">
        <v>0.7</v>
      </c>
      <c r="F126" s="2" t="s">
        <v>39</v>
      </c>
      <c r="G126" s="2" t="s">
        <v>64</v>
      </c>
      <c r="H126" s="2">
        <v>3.25</v>
      </c>
      <c r="I126">
        <f t="shared" si="2"/>
        <v>3.25</v>
      </c>
      <c r="J126">
        <v>3</v>
      </c>
      <c r="L126">
        <v>3</v>
      </c>
      <c r="M126">
        <v>3</v>
      </c>
      <c r="P126">
        <v>4</v>
      </c>
    </row>
    <row r="127" spans="1:16" x14ac:dyDescent="0.2">
      <c r="A127" s="2">
        <v>1</v>
      </c>
      <c r="B127" s="2" t="s">
        <v>25</v>
      </c>
      <c r="C127" t="s">
        <v>71</v>
      </c>
      <c r="D127" s="2">
        <v>155</v>
      </c>
      <c r="E127" s="2">
        <v>1.69</v>
      </c>
      <c r="F127" s="2" t="s">
        <v>35</v>
      </c>
      <c r="G127" s="2" t="s">
        <v>40</v>
      </c>
      <c r="H127" s="2">
        <v>2.25</v>
      </c>
      <c r="I127">
        <f t="shared" si="2"/>
        <v>2.25</v>
      </c>
      <c r="J127">
        <v>1</v>
      </c>
      <c r="K127">
        <v>4</v>
      </c>
      <c r="L127">
        <v>2</v>
      </c>
      <c r="M127">
        <v>2</v>
      </c>
    </row>
    <row r="128" spans="1:16" x14ac:dyDescent="0.2">
      <c r="A128" s="2">
        <v>2</v>
      </c>
      <c r="B128" s="2" t="s">
        <v>25</v>
      </c>
      <c r="C128" t="s">
        <v>71</v>
      </c>
      <c r="D128" s="2">
        <v>155</v>
      </c>
      <c r="E128" s="2">
        <v>1.59</v>
      </c>
      <c r="F128" s="2" t="s">
        <v>35</v>
      </c>
      <c r="G128" s="2" t="s">
        <v>41</v>
      </c>
      <c r="H128" s="2">
        <v>3.3333333333333335</v>
      </c>
      <c r="I128">
        <f t="shared" si="2"/>
        <v>3.3333333333333335</v>
      </c>
      <c r="J128">
        <v>4</v>
      </c>
      <c r="K128">
        <v>2</v>
      </c>
      <c r="L128">
        <v>4</v>
      </c>
      <c r="M128">
        <v>4</v>
      </c>
      <c r="N128">
        <v>4</v>
      </c>
      <c r="O128">
        <v>2</v>
      </c>
    </row>
    <row r="129" spans="1:16" x14ac:dyDescent="0.2">
      <c r="A129" s="2">
        <v>3</v>
      </c>
      <c r="B129" s="2" t="s">
        <v>25</v>
      </c>
      <c r="C129" t="s">
        <v>71</v>
      </c>
      <c r="D129" s="2">
        <v>169</v>
      </c>
      <c r="E129" s="2">
        <v>1.57</v>
      </c>
      <c r="F129" s="2" t="s">
        <v>35</v>
      </c>
      <c r="G129" s="2" t="s">
        <v>42</v>
      </c>
      <c r="H129" s="2">
        <v>3.5</v>
      </c>
      <c r="I129">
        <f t="shared" si="2"/>
        <v>3.5</v>
      </c>
      <c r="J129">
        <v>3</v>
      </c>
      <c r="K129">
        <v>4</v>
      </c>
      <c r="L129">
        <v>3</v>
      </c>
      <c r="M129">
        <v>3</v>
      </c>
      <c r="N129">
        <v>4</v>
      </c>
      <c r="O129">
        <v>4</v>
      </c>
    </row>
    <row r="130" spans="1:16" x14ac:dyDescent="0.2">
      <c r="A130" s="2">
        <v>4</v>
      </c>
      <c r="B130" s="2" t="s">
        <v>25</v>
      </c>
      <c r="C130" t="s">
        <v>71</v>
      </c>
      <c r="D130" s="2">
        <v>146</v>
      </c>
      <c r="E130" s="2">
        <v>1.57</v>
      </c>
      <c r="F130" s="2" t="s">
        <v>35</v>
      </c>
      <c r="G130" s="2" t="s">
        <v>43</v>
      </c>
      <c r="H130" s="2">
        <v>3.5</v>
      </c>
      <c r="I130">
        <f t="shared" si="2"/>
        <v>3.5</v>
      </c>
      <c r="J130">
        <v>4</v>
      </c>
      <c r="K130">
        <v>4</v>
      </c>
      <c r="L130">
        <v>4</v>
      </c>
      <c r="M130">
        <v>4</v>
      </c>
      <c r="N130">
        <v>3</v>
      </c>
      <c r="O130">
        <v>2</v>
      </c>
    </row>
    <row r="131" spans="1:16" x14ac:dyDescent="0.2">
      <c r="A131" s="2">
        <v>5</v>
      </c>
      <c r="B131" s="2" t="s">
        <v>25</v>
      </c>
      <c r="C131" t="s">
        <v>71</v>
      </c>
      <c r="D131" s="2">
        <v>149</v>
      </c>
      <c r="E131" s="2">
        <v>1.56</v>
      </c>
      <c r="F131" s="2" t="s">
        <v>35</v>
      </c>
      <c r="G131" s="2" t="s">
        <v>44</v>
      </c>
      <c r="H131" s="2">
        <v>3.5</v>
      </c>
      <c r="I131">
        <f t="shared" si="2"/>
        <v>3.5</v>
      </c>
      <c r="J131">
        <v>4</v>
      </c>
      <c r="K131">
        <v>3</v>
      </c>
      <c r="L131">
        <v>4</v>
      </c>
      <c r="M131">
        <v>4</v>
      </c>
      <c r="N131">
        <v>3</v>
      </c>
      <c r="O131">
        <v>3</v>
      </c>
    </row>
    <row r="132" spans="1:16" x14ac:dyDescent="0.2">
      <c r="A132" s="2">
        <v>1</v>
      </c>
      <c r="B132" s="2" t="s">
        <v>25</v>
      </c>
      <c r="C132" t="s">
        <v>71</v>
      </c>
      <c r="D132" s="2">
        <v>114</v>
      </c>
      <c r="E132" s="2">
        <v>1.1299999999999999</v>
      </c>
      <c r="F132" s="2" t="s">
        <v>36</v>
      </c>
      <c r="G132" s="2" t="s">
        <v>45</v>
      </c>
      <c r="H132" s="2">
        <v>3.1666666666666665</v>
      </c>
      <c r="I132">
        <f t="shared" si="2"/>
        <v>3.1666666666666665</v>
      </c>
      <c r="J132">
        <v>4</v>
      </c>
      <c r="K132">
        <v>4</v>
      </c>
      <c r="L132">
        <v>4</v>
      </c>
      <c r="M132">
        <v>4</v>
      </c>
      <c r="N132">
        <v>2</v>
      </c>
      <c r="O132">
        <v>1</v>
      </c>
    </row>
    <row r="133" spans="1:16" x14ac:dyDescent="0.2">
      <c r="A133" s="2">
        <v>2</v>
      </c>
      <c r="B133" s="2" t="s">
        <v>25</v>
      </c>
      <c r="C133" t="s">
        <v>71</v>
      </c>
      <c r="D133" s="2">
        <v>157</v>
      </c>
      <c r="E133" s="2">
        <v>1.57</v>
      </c>
      <c r="F133" s="2" t="s">
        <v>36</v>
      </c>
      <c r="G133" s="2" t="s">
        <v>46</v>
      </c>
      <c r="H133" s="2">
        <v>2.3333333333333335</v>
      </c>
      <c r="I133">
        <f t="shared" si="2"/>
        <v>2.3333333333333335</v>
      </c>
      <c r="J133">
        <v>3</v>
      </c>
      <c r="K133">
        <v>3</v>
      </c>
      <c r="L133">
        <v>3</v>
      </c>
      <c r="M133">
        <v>3</v>
      </c>
      <c r="N133">
        <v>1</v>
      </c>
      <c r="O133">
        <v>1</v>
      </c>
    </row>
    <row r="134" spans="1:16" x14ac:dyDescent="0.2">
      <c r="A134" s="2">
        <v>3</v>
      </c>
      <c r="B134" s="2" t="s">
        <v>25</v>
      </c>
      <c r="C134" t="s">
        <v>71</v>
      </c>
      <c r="D134" s="2">
        <v>148</v>
      </c>
      <c r="E134" s="2">
        <v>1.57</v>
      </c>
      <c r="F134" s="2" t="s">
        <v>36</v>
      </c>
      <c r="G134" s="2" t="s">
        <v>47</v>
      </c>
      <c r="H134" s="2">
        <v>3.1666666666666665</v>
      </c>
      <c r="I134">
        <f t="shared" si="2"/>
        <v>3.1666666666666665</v>
      </c>
      <c r="J134">
        <v>4</v>
      </c>
      <c r="K134">
        <v>3</v>
      </c>
      <c r="L134">
        <v>4</v>
      </c>
      <c r="M134">
        <v>4</v>
      </c>
      <c r="N134">
        <v>2</v>
      </c>
      <c r="O134">
        <v>2</v>
      </c>
    </row>
    <row r="135" spans="1:16" x14ac:dyDescent="0.2">
      <c r="A135" s="2">
        <v>4</v>
      </c>
      <c r="B135" s="2" t="s">
        <v>25</v>
      </c>
      <c r="C135" t="s">
        <v>71</v>
      </c>
      <c r="D135" s="2">
        <v>153</v>
      </c>
      <c r="E135" s="2">
        <v>1.59</v>
      </c>
      <c r="F135" s="2" t="s">
        <v>36</v>
      </c>
      <c r="G135" s="2" t="s">
        <v>48</v>
      </c>
      <c r="H135" s="2">
        <v>3</v>
      </c>
      <c r="I135">
        <f t="shared" si="2"/>
        <v>3</v>
      </c>
      <c r="J135">
        <v>3</v>
      </c>
      <c r="K135">
        <v>3</v>
      </c>
      <c r="L135">
        <v>3</v>
      </c>
      <c r="M135">
        <v>3</v>
      </c>
      <c r="N135">
        <v>3</v>
      </c>
      <c r="O135">
        <v>3</v>
      </c>
    </row>
    <row r="136" spans="1:16" x14ac:dyDescent="0.2">
      <c r="A136" s="2">
        <v>5</v>
      </c>
      <c r="B136" s="2" t="s">
        <v>25</v>
      </c>
      <c r="C136" t="s">
        <v>71</v>
      </c>
      <c r="D136" s="2">
        <v>120</v>
      </c>
      <c r="E136" s="2">
        <v>1.28</v>
      </c>
      <c r="F136" s="2" t="s">
        <v>36</v>
      </c>
      <c r="G136" s="2" t="s">
        <v>49</v>
      </c>
      <c r="H136" s="2">
        <v>3.6666666666666665</v>
      </c>
      <c r="I136">
        <f t="shared" si="2"/>
        <v>3.6666666666666665</v>
      </c>
      <c r="J136">
        <v>4</v>
      </c>
      <c r="K136">
        <v>4</v>
      </c>
      <c r="L136">
        <v>4</v>
      </c>
      <c r="M136">
        <v>4</v>
      </c>
      <c r="N136">
        <v>3</v>
      </c>
      <c r="O136">
        <v>3</v>
      </c>
    </row>
    <row r="137" spans="1:16" x14ac:dyDescent="0.2">
      <c r="A137" s="2">
        <v>1</v>
      </c>
      <c r="B137" s="2" t="s">
        <v>25</v>
      </c>
      <c r="C137" t="s">
        <v>71</v>
      </c>
      <c r="D137" s="2">
        <v>101</v>
      </c>
      <c r="E137" s="2">
        <v>1.42</v>
      </c>
      <c r="F137" s="2" t="s">
        <v>37</v>
      </c>
      <c r="G137" s="2" t="s">
        <v>50</v>
      </c>
      <c r="H137" s="2">
        <v>1.6</v>
      </c>
      <c r="I137">
        <f t="shared" si="2"/>
        <v>1.6</v>
      </c>
      <c r="J137">
        <v>3</v>
      </c>
      <c r="L137">
        <v>1</v>
      </c>
      <c r="M137">
        <v>1</v>
      </c>
      <c r="N137">
        <v>2</v>
      </c>
      <c r="O137">
        <v>1</v>
      </c>
    </row>
    <row r="138" spans="1:16" x14ac:dyDescent="0.2">
      <c r="A138" s="2">
        <v>2</v>
      </c>
      <c r="B138" s="2" t="s">
        <v>25</v>
      </c>
      <c r="C138" t="s">
        <v>71</v>
      </c>
      <c r="D138" s="2">
        <v>121</v>
      </c>
      <c r="E138" s="2">
        <v>1.54</v>
      </c>
      <c r="F138" s="2" t="s">
        <v>37</v>
      </c>
      <c r="G138" s="2" t="s">
        <v>51</v>
      </c>
      <c r="H138" s="2">
        <v>2</v>
      </c>
      <c r="I138">
        <f t="shared" si="2"/>
        <v>2</v>
      </c>
      <c r="J138">
        <v>2</v>
      </c>
      <c r="L138">
        <v>2</v>
      </c>
      <c r="M138">
        <v>2</v>
      </c>
    </row>
    <row r="139" spans="1:16" x14ac:dyDescent="0.2">
      <c r="A139" s="2">
        <v>3</v>
      </c>
      <c r="B139" s="2" t="s">
        <v>25</v>
      </c>
      <c r="C139" t="s">
        <v>71</v>
      </c>
      <c r="D139" s="2">
        <v>118</v>
      </c>
      <c r="E139" s="2">
        <v>1.52</v>
      </c>
      <c r="F139" s="2" t="s">
        <v>37</v>
      </c>
      <c r="G139" s="2" t="s">
        <v>52</v>
      </c>
      <c r="H139" s="2">
        <v>0.66666666666666663</v>
      </c>
      <c r="I139">
        <f t="shared" si="2"/>
        <v>0.66666666666666663</v>
      </c>
      <c r="J139">
        <v>0</v>
      </c>
      <c r="L139">
        <v>1</v>
      </c>
      <c r="M139">
        <v>1</v>
      </c>
    </row>
    <row r="140" spans="1:16" x14ac:dyDescent="0.2">
      <c r="A140" s="2">
        <v>4</v>
      </c>
      <c r="B140" s="2" t="s">
        <v>25</v>
      </c>
      <c r="C140" t="s">
        <v>71</v>
      </c>
      <c r="D140" s="2">
        <v>115</v>
      </c>
      <c r="E140" s="2">
        <v>1.54</v>
      </c>
      <c r="F140" s="2" t="s">
        <v>37</v>
      </c>
      <c r="G140" s="2" t="s">
        <v>53</v>
      </c>
      <c r="H140" s="2">
        <v>1</v>
      </c>
      <c r="I140">
        <f t="shared" ref="I140:I203" si="3">AVERAGE(J140:P140)</f>
        <v>1</v>
      </c>
      <c r="J140">
        <v>1</v>
      </c>
      <c r="L140">
        <v>1</v>
      </c>
      <c r="M140">
        <v>1</v>
      </c>
    </row>
    <row r="141" spans="1:16" x14ac:dyDescent="0.2">
      <c r="A141" s="2">
        <v>5</v>
      </c>
      <c r="B141" s="2" t="s">
        <v>25</v>
      </c>
      <c r="C141" t="s">
        <v>71</v>
      </c>
      <c r="D141" s="2">
        <v>95</v>
      </c>
      <c r="E141" s="2">
        <v>1.07</v>
      </c>
      <c r="F141" s="2" t="s">
        <v>37</v>
      </c>
      <c r="G141" s="2" t="s">
        <v>54</v>
      </c>
      <c r="H141" s="2">
        <v>2</v>
      </c>
      <c r="I141">
        <f t="shared" si="3"/>
        <v>2</v>
      </c>
      <c r="J141">
        <v>2</v>
      </c>
      <c r="L141">
        <v>2</v>
      </c>
      <c r="M141">
        <v>2</v>
      </c>
    </row>
    <row r="142" spans="1:16" x14ac:dyDescent="0.2">
      <c r="A142" s="2">
        <v>1</v>
      </c>
      <c r="B142" s="2" t="s">
        <v>25</v>
      </c>
      <c r="C142" t="s">
        <v>71</v>
      </c>
      <c r="D142" s="2">
        <v>109</v>
      </c>
      <c r="E142" s="2">
        <v>1.28</v>
      </c>
      <c r="F142" s="2" t="s">
        <v>38</v>
      </c>
      <c r="G142" s="2" t="s">
        <v>55</v>
      </c>
      <c r="H142" s="2">
        <v>2.5</v>
      </c>
      <c r="I142">
        <f t="shared" si="3"/>
        <v>2.5</v>
      </c>
      <c r="J142">
        <v>2</v>
      </c>
      <c r="L142">
        <v>3</v>
      </c>
      <c r="M142">
        <v>2</v>
      </c>
      <c r="P142">
        <v>3</v>
      </c>
    </row>
    <row r="143" spans="1:16" x14ac:dyDescent="0.2">
      <c r="A143" s="2">
        <v>2</v>
      </c>
      <c r="B143" s="2" t="s">
        <v>25</v>
      </c>
      <c r="C143" t="s">
        <v>71</v>
      </c>
      <c r="D143" s="2">
        <v>149</v>
      </c>
      <c r="E143" s="2">
        <v>1.57</v>
      </c>
      <c r="F143" s="2" t="s">
        <v>38</v>
      </c>
      <c r="G143" s="2" t="s">
        <v>56</v>
      </c>
      <c r="H143" s="2">
        <v>3.5</v>
      </c>
      <c r="I143">
        <f t="shared" si="3"/>
        <v>3.5</v>
      </c>
      <c r="J143">
        <v>3</v>
      </c>
      <c r="L143">
        <v>4</v>
      </c>
      <c r="M143">
        <v>3</v>
      </c>
      <c r="P143">
        <v>4</v>
      </c>
    </row>
    <row r="144" spans="1:16" x14ac:dyDescent="0.2">
      <c r="A144" s="2">
        <v>3</v>
      </c>
      <c r="B144" s="2" t="s">
        <v>25</v>
      </c>
      <c r="C144" t="s">
        <v>71</v>
      </c>
      <c r="D144" s="2">
        <v>116</v>
      </c>
      <c r="E144" s="2">
        <v>1.36</v>
      </c>
      <c r="F144" s="2" t="s">
        <v>38</v>
      </c>
      <c r="G144" s="2" t="s">
        <v>57</v>
      </c>
      <c r="H144" s="2">
        <v>3.25</v>
      </c>
      <c r="I144">
        <f t="shared" si="3"/>
        <v>3.25</v>
      </c>
      <c r="J144">
        <v>3</v>
      </c>
      <c r="L144">
        <v>3</v>
      </c>
      <c r="M144">
        <v>3</v>
      </c>
      <c r="P144">
        <v>4</v>
      </c>
    </row>
    <row r="145" spans="1:16" x14ac:dyDescent="0.2">
      <c r="A145" s="2">
        <v>4</v>
      </c>
      <c r="B145" s="2" t="s">
        <v>25</v>
      </c>
      <c r="C145" t="s">
        <v>71</v>
      </c>
      <c r="D145" s="2">
        <v>126</v>
      </c>
      <c r="E145" s="2">
        <v>1.57</v>
      </c>
      <c r="F145" s="2" t="s">
        <v>38</v>
      </c>
      <c r="G145" s="2" t="s">
        <v>58</v>
      </c>
      <c r="H145" s="2">
        <v>2.75</v>
      </c>
      <c r="I145">
        <f t="shared" si="3"/>
        <v>2.75</v>
      </c>
      <c r="J145">
        <v>3</v>
      </c>
      <c r="L145">
        <v>3</v>
      </c>
      <c r="M145">
        <v>2</v>
      </c>
      <c r="P145">
        <v>3</v>
      </c>
    </row>
    <row r="146" spans="1:16" x14ac:dyDescent="0.2">
      <c r="A146" s="2">
        <v>5</v>
      </c>
      <c r="B146" s="2" t="s">
        <v>25</v>
      </c>
      <c r="C146" t="s">
        <v>71</v>
      </c>
      <c r="D146" s="2">
        <v>137</v>
      </c>
      <c r="E146" s="2">
        <v>1.57</v>
      </c>
      <c r="F146" s="2" t="s">
        <v>38</v>
      </c>
      <c r="G146" s="2" t="s">
        <v>59</v>
      </c>
      <c r="H146" s="2">
        <v>2.75</v>
      </c>
      <c r="I146">
        <f t="shared" si="3"/>
        <v>2.75</v>
      </c>
      <c r="J146">
        <v>3</v>
      </c>
      <c r="L146">
        <v>3</v>
      </c>
      <c r="M146">
        <v>2</v>
      </c>
      <c r="P146">
        <v>3</v>
      </c>
    </row>
    <row r="147" spans="1:16" x14ac:dyDescent="0.2">
      <c r="A147" s="2">
        <v>1</v>
      </c>
      <c r="B147" s="2" t="s">
        <v>25</v>
      </c>
      <c r="C147" t="s">
        <v>71</v>
      </c>
      <c r="D147" s="2">
        <v>119</v>
      </c>
      <c r="E147" s="2">
        <v>1.53</v>
      </c>
      <c r="F147" s="2" t="s">
        <v>39</v>
      </c>
      <c r="G147" s="2" t="s">
        <v>60</v>
      </c>
      <c r="H147" s="2">
        <v>2.25</v>
      </c>
      <c r="I147">
        <f t="shared" si="3"/>
        <v>2.25</v>
      </c>
      <c r="J147">
        <v>2</v>
      </c>
      <c r="L147">
        <v>2</v>
      </c>
      <c r="M147">
        <v>2</v>
      </c>
      <c r="P147">
        <v>3</v>
      </c>
    </row>
    <row r="148" spans="1:16" x14ac:dyDescent="0.2">
      <c r="A148" s="2">
        <v>2</v>
      </c>
      <c r="B148" s="2" t="s">
        <v>25</v>
      </c>
      <c r="C148" t="s">
        <v>71</v>
      </c>
      <c r="D148" s="2">
        <v>124</v>
      </c>
      <c r="E148" s="2">
        <v>1.53</v>
      </c>
      <c r="F148" s="2" t="s">
        <v>39</v>
      </c>
      <c r="G148" s="2" t="s">
        <v>61</v>
      </c>
      <c r="H148" s="2">
        <v>2.25</v>
      </c>
      <c r="I148">
        <f t="shared" si="3"/>
        <v>2.25</v>
      </c>
      <c r="J148">
        <v>2</v>
      </c>
      <c r="L148">
        <v>2</v>
      </c>
      <c r="M148">
        <v>2</v>
      </c>
      <c r="P148">
        <v>3</v>
      </c>
    </row>
    <row r="149" spans="1:16" x14ac:dyDescent="0.2">
      <c r="A149" s="2">
        <v>3</v>
      </c>
      <c r="B149" s="2" t="s">
        <v>25</v>
      </c>
      <c r="C149" t="s">
        <v>71</v>
      </c>
      <c r="D149" s="2">
        <v>43</v>
      </c>
      <c r="E149" s="2">
        <v>0.41</v>
      </c>
      <c r="F149" s="2" t="s">
        <v>39</v>
      </c>
      <c r="G149" s="2" t="s">
        <v>62</v>
      </c>
      <c r="H149" s="2">
        <v>3</v>
      </c>
      <c r="I149">
        <f t="shared" si="3"/>
        <v>3</v>
      </c>
      <c r="J149">
        <v>3</v>
      </c>
      <c r="L149">
        <v>3</v>
      </c>
      <c r="M149">
        <v>3</v>
      </c>
      <c r="P149">
        <v>3</v>
      </c>
    </row>
    <row r="150" spans="1:16" x14ac:dyDescent="0.2">
      <c r="A150" s="2">
        <v>4</v>
      </c>
      <c r="B150" s="2" t="s">
        <v>25</v>
      </c>
      <c r="C150" t="s">
        <v>71</v>
      </c>
      <c r="D150" s="2">
        <v>53</v>
      </c>
      <c r="E150" s="2">
        <v>0.54</v>
      </c>
      <c r="F150" s="2" t="s">
        <v>39</v>
      </c>
      <c r="G150" s="2" t="s">
        <v>63</v>
      </c>
      <c r="H150" s="2">
        <v>4</v>
      </c>
      <c r="I150">
        <f t="shared" si="3"/>
        <v>4</v>
      </c>
      <c r="J150">
        <v>4</v>
      </c>
      <c r="L150">
        <v>4</v>
      </c>
      <c r="M150">
        <v>4</v>
      </c>
      <c r="P150">
        <v>4</v>
      </c>
    </row>
    <row r="151" spans="1:16" x14ac:dyDescent="0.2">
      <c r="A151" s="2">
        <v>5</v>
      </c>
      <c r="B151" s="2" t="s">
        <v>25</v>
      </c>
      <c r="C151" t="s">
        <v>71</v>
      </c>
      <c r="D151" s="2">
        <v>115</v>
      </c>
      <c r="E151" s="2">
        <v>1.53</v>
      </c>
      <c r="F151" s="2" t="s">
        <v>39</v>
      </c>
      <c r="G151" s="2" t="s">
        <v>64</v>
      </c>
      <c r="H151" s="2">
        <v>2</v>
      </c>
      <c r="I151">
        <f t="shared" si="3"/>
        <v>2</v>
      </c>
      <c r="J151">
        <v>2</v>
      </c>
      <c r="L151">
        <v>2</v>
      </c>
      <c r="M151">
        <v>2</v>
      </c>
      <c r="P151">
        <v>2</v>
      </c>
    </row>
    <row r="152" spans="1:16" x14ac:dyDescent="0.2">
      <c r="A152" s="2">
        <v>1</v>
      </c>
      <c r="B152" s="2" t="s">
        <v>26</v>
      </c>
      <c r="C152" t="s">
        <v>72</v>
      </c>
      <c r="D152" s="2">
        <v>148</v>
      </c>
      <c r="E152" s="2">
        <v>2.0499999999999998</v>
      </c>
      <c r="F152" s="2" t="s">
        <v>35</v>
      </c>
      <c r="G152" s="2" t="s">
        <v>40</v>
      </c>
      <c r="H152" s="2">
        <v>1.8333333333333333</v>
      </c>
      <c r="I152">
        <f t="shared" si="3"/>
        <v>1.8333333333333333</v>
      </c>
      <c r="J152">
        <v>2</v>
      </c>
      <c r="K152">
        <v>1</v>
      </c>
      <c r="L152">
        <v>1</v>
      </c>
      <c r="M152">
        <v>2</v>
      </c>
      <c r="N152">
        <v>3</v>
      </c>
      <c r="O152">
        <v>2</v>
      </c>
    </row>
    <row r="153" spans="1:16" x14ac:dyDescent="0.2">
      <c r="A153" s="2">
        <v>2</v>
      </c>
      <c r="B153" s="2" t="s">
        <v>26</v>
      </c>
      <c r="C153" t="s">
        <v>72</v>
      </c>
      <c r="D153" s="2">
        <v>151</v>
      </c>
      <c r="E153" s="2">
        <v>1.98</v>
      </c>
      <c r="F153" s="2" t="s">
        <v>35</v>
      </c>
      <c r="G153" s="2" t="s">
        <v>41</v>
      </c>
      <c r="H153" s="2">
        <v>3.6666666666666665</v>
      </c>
      <c r="I153">
        <f t="shared" si="3"/>
        <v>3.6666666666666665</v>
      </c>
      <c r="J153">
        <v>4</v>
      </c>
      <c r="K153">
        <v>3</v>
      </c>
      <c r="L153">
        <v>4</v>
      </c>
      <c r="M153">
        <v>4</v>
      </c>
      <c r="N153">
        <v>4</v>
      </c>
      <c r="O153">
        <v>3</v>
      </c>
    </row>
    <row r="154" spans="1:16" x14ac:dyDescent="0.2">
      <c r="A154" s="2">
        <v>3</v>
      </c>
      <c r="B154" s="2" t="s">
        <v>26</v>
      </c>
      <c r="C154" t="s">
        <v>72</v>
      </c>
      <c r="D154" s="2">
        <v>164</v>
      </c>
      <c r="E154" s="2">
        <v>1.98</v>
      </c>
      <c r="F154" s="2" t="s">
        <v>35</v>
      </c>
      <c r="G154" s="2" t="s">
        <v>42</v>
      </c>
      <c r="H154" s="2">
        <v>3.6666666666666665</v>
      </c>
      <c r="I154">
        <f t="shared" si="3"/>
        <v>3.6666666666666665</v>
      </c>
      <c r="J154">
        <v>4</v>
      </c>
      <c r="K154">
        <v>4</v>
      </c>
      <c r="L154">
        <v>4</v>
      </c>
      <c r="M154">
        <v>4</v>
      </c>
      <c r="N154">
        <v>3</v>
      </c>
      <c r="O154">
        <v>3</v>
      </c>
    </row>
    <row r="155" spans="1:16" x14ac:dyDescent="0.2">
      <c r="A155" s="2">
        <v>4</v>
      </c>
      <c r="B155" s="2" t="s">
        <v>26</v>
      </c>
      <c r="C155" t="s">
        <v>72</v>
      </c>
      <c r="D155" s="2">
        <v>142</v>
      </c>
      <c r="E155" s="2">
        <v>1.98</v>
      </c>
      <c r="F155" s="2" t="s">
        <v>35</v>
      </c>
      <c r="G155" s="2" t="s">
        <v>43</v>
      </c>
      <c r="H155" s="2">
        <v>3.3333333333333335</v>
      </c>
      <c r="I155">
        <f t="shared" si="3"/>
        <v>3.3333333333333335</v>
      </c>
      <c r="J155">
        <v>4</v>
      </c>
      <c r="K155">
        <v>3</v>
      </c>
      <c r="L155">
        <v>4</v>
      </c>
      <c r="M155">
        <v>4</v>
      </c>
      <c r="N155">
        <v>3</v>
      </c>
      <c r="O155">
        <v>2</v>
      </c>
    </row>
    <row r="156" spans="1:16" x14ac:dyDescent="0.2">
      <c r="A156" s="2">
        <v>5</v>
      </c>
      <c r="B156" s="2" t="s">
        <v>26</v>
      </c>
      <c r="C156" t="s">
        <v>72</v>
      </c>
      <c r="D156" s="2">
        <v>149</v>
      </c>
      <c r="E156" s="2">
        <v>1.98</v>
      </c>
      <c r="F156" s="2" t="s">
        <v>35</v>
      </c>
      <c r="G156" s="2" t="s">
        <v>44</v>
      </c>
      <c r="H156" s="2">
        <v>3.75</v>
      </c>
      <c r="I156">
        <f t="shared" si="3"/>
        <v>3.75</v>
      </c>
      <c r="J156">
        <v>4</v>
      </c>
      <c r="K156">
        <v>3</v>
      </c>
      <c r="L156">
        <v>4</v>
      </c>
      <c r="M156">
        <v>4</v>
      </c>
    </row>
    <row r="157" spans="1:16" x14ac:dyDescent="0.2">
      <c r="A157" s="2">
        <v>1</v>
      </c>
      <c r="B157" s="2" t="s">
        <v>26</v>
      </c>
      <c r="C157" t="s">
        <v>72</v>
      </c>
      <c r="D157" s="2">
        <v>146</v>
      </c>
      <c r="E157" s="2">
        <v>1.98</v>
      </c>
      <c r="F157" s="2" t="s">
        <v>36</v>
      </c>
      <c r="G157" s="2" t="s">
        <v>45</v>
      </c>
      <c r="H157" s="2">
        <v>3.5</v>
      </c>
      <c r="I157">
        <f t="shared" si="3"/>
        <v>3.5</v>
      </c>
      <c r="J157">
        <v>4</v>
      </c>
      <c r="K157">
        <v>4</v>
      </c>
      <c r="L157">
        <v>4</v>
      </c>
      <c r="M157">
        <v>4</v>
      </c>
      <c r="N157">
        <v>3</v>
      </c>
      <c r="O157">
        <v>2</v>
      </c>
    </row>
    <row r="158" spans="1:16" x14ac:dyDescent="0.2">
      <c r="A158" s="2">
        <v>2</v>
      </c>
      <c r="B158" s="2" t="s">
        <v>26</v>
      </c>
      <c r="C158" t="s">
        <v>72</v>
      </c>
      <c r="D158" s="2">
        <v>154</v>
      </c>
      <c r="E158" s="2">
        <v>1.98</v>
      </c>
      <c r="F158" s="2" t="s">
        <v>36</v>
      </c>
      <c r="G158" s="2" t="s">
        <v>46</v>
      </c>
      <c r="H158" s="2">
        <v>3</v>
      </c>
      <c r="I158">
        <f t="shared" si="3"/>
        <v>3</v>
      </c>
      <c r="J158">
        <v>3</v>
      </c>
      <c r="K158">
        <v>3</v>
      </c>
      <c r="L158">
        <v>3</v>
      </c>
      <c r="M158">
        <v>3</v>
      </c>
      <c r="N158">
        <v>3</v>
      </c>
      <c r="O158">
        <v>3</v>
      </c>
    </row>
    <row r="159" spans="1:16" x14ac:dyDescent="0.2">
      <c r="A159" s="2">
        <v>3</v>
      </c>
      <c r="B159" s="2" t="s">
        <v>26</v>
      </c>
      <c r="C159" t="s">
        <v>72</v>
      </c>
      <c r="D159" s="2">
        <v>146</v>
      </c>
      <c r="E159" s="2">
        <v>1.98</v>
      </c>
      <c r="F159" s="2" t="s">
        <v>36</v>
      </c>
      <c r="G159" s="2" t="s">
        <v>47</v>
      </c>
      <c r="H159" s="2">
        <v>3.3333333333333335</v>
      </c>
      <c r="I159">
        <f t="shared" si="3"/>
        <v>3.3333333333333335</v>
      </c>
      <c r="J159">
        <v>4</v>
      </c>
      <c r="K159">
        <v>3</v>
      </c>
      <c r="L159">
        <v>4</v>
      </c>
      <c r="M159">
        <v>4</v>
      </c>
      <c r="N159">
        <v>2</v>
      </c>
      <c r="O159">
        <v>3</v>
      </c>
    </row>
    <row r="160" spans="1:16" x14ac:dyDescent="0.2">
      <c r="A160" s="2">
        <v>4</v>
      </c>
      <c r="B160" s="2" t="s">
        <v>26</v>
      </c>
      <c r="C160" t="s">
        <v>72</v>
      </c>
      <c r="D160" s="2">
        <v>151</v>
      </c>
      <c r="E160" s="2">
        <v>1.98</v>
      </c>
      <c r="F160" s="2" t="s">
        <v>36</v>
      </c>
      <c r="G160" s="2" t="s">
        <v>48</v>
      </c>
      <c r="H160" s="2">
        <v>3.6666666666666665</v>
      </c>
      <c r="I160">
        <f t="shared" si="3"/>
        <v>3.6666666666666665</v>
      </c>
      <c r="J160">
        <v>4</v>
      </c>
      <c r="K160">
        <v>4</v>
      </c>
      <c r="L160">
        <v>4</v>
      </c>
      <c r="M160">
        <v>4</v>
      </c>
      <c r="N160">
        <v>3</v>
      </c>
      <c r="O160">
        <v>3</v>
      </c>
    </row>
    <row r="161" spans="1:16" x14ac:dyDescent="0.2">
      <c r="A161" s="2">
        <v>5</v>
      </c>
      <c r="B161" s="2" t="s">
        <v>26</v>
      </c>
      <c r="C161" t="s">
        <v>72</v>
      </c>
      <c r="D161" s="2">
        <v>139</v>
      </c>
      <c r="E161" s="2">
        <v>1.98</v>
      </c>
      <c r="F161" s="2" t="s">
        <v>36</v>
      </c>
      <c r="G161" s="2" t="s">
        <v>49</v>
      </c>
      <c r="H161" s="2">
        <v>3.6666666666666665</v>
      </c>
      <c r="I161">
        <f t="shared" si="3"/>
        <v>3.6666666666666665</v>
      </c>
      <c r="J161">
        <v>4</v>
      </c>
      <c r="K161">
        <v>4</v>
      </c>
      <c r="L161">
        <v>4</v>
      </c>
      <c r="M161">
        <v>4</v>
      </c>
      <c r="N161">
        <v>3</v>
      </c>
      <c r="O161">
        <v>3</v>
      </c>
    </row>
    <row r="162" spans="1:16" x14ac:dyDescent="0.2">
      <c r="A162" s="2">
        <v>1</v>
      </c>
      <c r="B162" s="2" t="s">
        <v>26</v>
      </c>
      <c r="C162" t="s">
        <v>72</v>
      </c>
      <c r="D162" s="2">
        <v>122</v>
      </c>
      <c r="E162" s="2">
        <v>1.98</v>
      </c>
      <c r="F162" s="2" t="s">
        <v>37</v>
      </c>
      <c r="G162" s="2" t="s">
        <v>50</v>
      </c>
      <c r="H162" s="2">
        <v>3</v>
      </c>
      <c r="I162">
        <f t="shared" si="3"/>
        <v>3</v>
      </c>
      <c r="J162">
        <v>3</v>
      </c>
      <c r="L162">
        <v>3</v>
      </c>
      <c r="M162">
        <v>3</v>
      </c>
    </row>
    <row r="163" spans="1:16" x14ac:dyDescent="0.2">
      <c r="A163" s="2">
        <v>2</v>
      </c>
      <c r="B163" s="2" t="s">
        <v>26</v>
      </c>
      <c r="C163" t="s">
        <v>72</v>
      </c>
      <c r="D163" s="2">
        <v>125</v>
      </c>
      <c r="E163" s="2">
        <v>1.94</v>
      </c>
      <c r="F163" s="2" t="s">
        <v>37</v>
      </c>
      <c r="G163" s="2" t="s">
        <v>51</v>
      </c>
      <c r="H163" s="2">
        <v>3</v>
      </c>
      <c r="I163">
        <f t="shared" si="3"/>
        <v>3</v>
      </c>
      <c r="J163">
        <v>3</v>
      </c>
      <c r="L163">
        <v>3</v>
      </c>
      <c r="M163">
        <v>3</v>
      </c>
    </row>
    <row r="164" spans="1:16" x14ac:dyDescent="0.2">
      <c r="A164" s="2">
        <v>3</v>
      </c>
      <c r="B164" s="2" t="s">
        <v>26</v>
      </c>
      <c r="C164" t="s">
        <v>72</v>
      </c>
      <c r="D164" s="2">
        <v>130</v>
      </c>
      <c r="E164" s="2">
        <v>1.94</v>
      </c>
      <c r="F164" s="2" t="s">
        <v>37</v>
      </c>
      <c r="G164" s="2" t="s">
        <v>52</v>
      </c>
      <c r="H164" s="2">
        <v>0</v>
      </c>
      <c r="I164">
        <f t="shared" si="3"/>
        <v>0</v>
      </c>
      <c r="J164">
        <v>0</v>
      </c>
      <c r="L164">
        <v>0</v>
      </c>
      <c r="M164">
        <v>0</v>
      </c>
    </row>
    <row r="165" spans="1:16" x14ac:dyDescent="0.2">
      <c r="A165" s="2">
        <v>4</v>
      </c>
      <c r="B165" s="2" t="s">
        <v>26</v>
      </c>
      <c r="C165" t="s">
        <v>72</v>
      </c>
      <c r="D165" s="2">
        <v>105</v>
      </c>
      <c r="E165" s="2">
        <v>1.66</v>
      </c>
      <c r="F165" s="2" t="s">
        <v>37</v>
      </c>
      <c r="G165" s="2" t="s">
        <v>53</v>
      </c>
      <c r="H165" s="2">
        <v>2.6666666666666665</v>
      </c>
      <c r="I165">
        <f t="shared" si="3"/>
        <v>2.6666666666666665</v>
      </c>
      <c r="J165">
        <v>3</v>
      </c>
      <c r="L165">
        <v>3</v>
      </c>
      <c r="M165">
        <v>2</v>
      </c>
    </row>
    <row r="166" spans="1:16" x14ac:dyDescent="0.2">
      <c r="A166" s="2">
        <v>5</v>
      </c>
      <c r="B166" s="2" t="s">
        <v>26</v>
      </c>
      <c r="C166" t="s">
        <v>72</v>
      </c>
      <c r="D166" s="2">
        <v>127</v>
      </c>
      <c r="E166" s="2">
        <v>1.94</v>
      </c>
      <c r="F166" s="2" t="s">
        <v>37</v>
      </c>
      <c r="G166" s="2" t="s">
        <v>54</v>
      </c>
      <c r="H166" s="2">
        <v>1.3333333333333333</v>
      </c>
      <c r="I166">
        <f t="shared" si="3"/>
        <v>1.3333333333333333</v>
      </c>
      <c r="J166">
        <v>1</v>
      </c>
      <c r="L166">
        <v>2</v>
      </c>
      <c r="M166">
        <v>1</v>
      </c>
    </row>
    <row r="167" spans="1:16" x14ac:dyDescent="0.2">
      <c r="A167" s="2">
        <v>1</v>
      </c>
      <c r="B167" s="2" t="s">
        <v>26</v>
      </c>
      <c r="C167" t="s">
        <v>72</v>
      </c>
      <c r="D167" s="2">
        <v>130</v>
      </c>
      <c r="E167" s="2">
        <v>1.98</v>
      </c>
      <c r="F167" s="2" t="s">
        <v>38</v>
      </c>
      <c r="G167" s="2" t="s">
        <v>55</v>
      </c>
      <c r="H167" s="2">
        <v>2.5</v>
      </c>
      <c r="I167">
        <f t="shared" si="3"/>
        <v>2.5</v>
      </c>
      <c r="J167">
        <v>2</v>
      </c>
      <c r="L167">
        <v>3</v>
      </c>
      <c r="M167">
        <v>2</v>
      </c>
      <c r="P167">
        <v>3</v>
      </c>
    </row>
    <row r="168" spans="1:16" x14ac:dyDescent="0.2">
      <c r="A168" s="2">
        <v>2</v>
      </c>
      <c r="B168" s="2" t="s">
        <v>26</v>
      </c>
      <c r="C168" t="s">
        <v>72</v>
      </c>
      <c r="D168" s="2">
        <v>143</v>
      </c>
      <c r="E168" s="2">
        <v>1.98</v>
      </c>
      <c r="F168" s="2" t="s">
        <v>38</v>
      </c>
      <c r="G168" s="2" t="s">
        <v>56</v>
      </c>
      <c r="H168" s="2">
        <v>2.75</v>
      </c>
      <c r="I168">
        <f t="shared" si="3"/>
        <v>2.75</v>
      </c>
      <c r="J168">
        <v>3</v>
      </c>
      <c r="L168">
        <v>3</v>
      </c>
      <c r="M168">
        <v>2</v>
      </c>
      <c r="P168">
        <v>3</v>
      </c>
    </row>
    <row r="169" spans="1:16" x14ac:dyDescent="0.2">
      <c r="A169" s="2">
        <v>3</v>
      </c>
      <c r="B169" s="2" t="s">
        <v>26</v>
      </c>
      <c r="C169" t="s">
        <v>72</v>
      </c>
      <c r="D169" s="2">
        <v>132</v>
      </c>
      <c r="E169" s="2">
        <v>1.99</v>
      </c>
      <c r="F169" s="2" t="s">
        <v>38</v>
      </c>
      <c r="G169" s="2" t="s">
        <v>57</v>
      </c>
      <c r="H169" s="2">
        <v>3</v>
      </c>
      <c r="I169">
        <f t="shared" si="3"/>
        <v>3</v>
      </c>
      <c r="J169">
        <v>3</v>
      </c>
      <c r="L169">
        <v>3</v>
      </c>
      <c r="M169">
        <v>2</v>
      </c>
      <c r="P169">
        <v>4</v>
      </c>
    </row>
    <row r="170" spans="1:16" x14ac:dyDescent="0.2">
      <c r="A170" s="2">
        <v>4</v>
      </c>
      <c r="B170" s="2" t="s">
        <v>26</v>
      </c>
      <c r="C170" t="s">
        <v>72</v>
      </c>
      <c r="D170" s="2">
        <v>126</v>
      </c>
      <c r="E170" s="2">
        <v>1.98</v>
      </c>
      <c r="F170" s="2" t="s">
        <v>38</v>
      </c>
      <c r="G170" s="2" t="s">
        <v>58</v>
      </c>
      <c r="H170" s="2">
        <v>2.75</v>
      </c>
      <c r="I170">
        <f t="shared" si="3"/>
        <v>2.75</v>
      </c>
      <c r="J170">
        <v>3</v>
      </c>
      <c r="L170">
        <v>3</v>
      </c>
      <c r="M170">
        <v>2</v>
      </c>
      <c r="P170">
        <v>3</v>
      </c>
    </row>
    <row r="171" spans="1:16" x14ac:dyDescent="0.2">
      <c r="A171" s="2">
        <v>5</v>
      </c>
      <c r="B171" s="2" t="s">
        <v>26</v>
      </c>
      <c r="C171" t="s">
        <v>72</v>
      </c>
      <c r="D171" s="2">
        <v>135</v>
      </c>
      <c r="E171" s="2">
        <v>1.98</v>
      </c>
      <c r="F171" s="2" t="s">
        <v>38</v>
      </c>
      <c r="G171" s="2" t="s">
        <v>59</v>
      </c>
      <c r="H171" s="2">
        <v>3</v>
      </c>
      <c r="I171">
        <f t="shared" si="3"/>
        <v>3</v>
      </c>
      <c r="J171">
        <v>3</v>
      </c>
      <c r="L171">
        <v>3</v>
      </c>
      <c r="M171">
        <v>3</v>
      </c>
      <c r="P171">
        <v>3</v>
      </c>
    </row>
    <row r="172" spans="1:16" x14ac:dyDescent="0.2">
      <c r="A172" s="2">
        <v>1</v>
      </c>
      <c r="B172" s="2" t="s">
        <v>26</v>
      </c>
      <c r="C172" t="s">
        <v>72</v>
      </c>
      <c r="D172" s="2">
        <v>117</v>
      </c>
      <c r="E172" s="2">
        <v>1.93</v>
      </c>
      <c r="F172" s="2" t="s">
        <v>39</v>
      </c>
      <c r="G172" s="2" t="s">
        <v>60</v>
      </c>
      <c r="H172" s="2">
        <v>2.25</v>
      </c>
      <c r="I172">
        <f t="shared" si="3"/>
        <v>2.25</v>
      </c>
      <c r="J172">
        <v>2</v>
      </c>
      <c r="L172">
        <v>2</v>
      </c>
      <c r="M172">
        <v>2</v>
      </c>
      <c r="P172">
        <v>3</v>
      </c>
    </row>
    <row r="173" spans="1:16" x14ac:dyDescent="0.2">
      <c r="A173" s="2">
        <v>2</v>
      </c>
      <c r="B173" s="2" t="s">
        <v>26</v>
      </c>
      <c r="C173" t="s">
        <v>72</v>
      </c>
      <c r="D173" s="2">
        <v>125</v>
      </c>
      <c r="E173" s="2">
        <v>1.93</v>
      </c>
      <c r="F173" s="2" t="s">
        <v>39</v>
      </c>
      <c r="G173" s="2" t="s">
        <v>61</v>
      </c>
      <c r="H173" s="2">
        <v>2.75</v>
      </c>
      <c r="I173">
        <f t="shared" si="3"/>
        <v>2.75</v>
      </c>
      <c r="J173">
        <v>3</v>
      </c>
      <c r="L173">
        <v>2</v>
      </c>
      <c r="M173">
        <v>3</v>
      </c>
      <c r="P173">
        <v>3</v>
      </c>
    </row>
    <row r="174" spans="1:16" x14ac:dyDescent="0.2">
      <c r="A174" s="2">
        <v>3</v>
      </c>
      <c r="B174" s="2" t="s">
        <v>26</v>
      </c>
      <c r="C174" t="s">
        <v>72</v>
      </c>
      <c r="D174" s="2">
        <v>116</v>
      </c>
      <c r="E174" s="2">
        <v>1.93</v>
      </c>
      <c r="F174" s="2" t="s">
        <v>39</v>
      </c>
      <c r="G174" s="2" t="s">
        <v>62</v>
      </c>
      <c r="H174" s="2">
        <v>3.5</v>
      </c>
      <c r="I174">
        <f t="shared" si="3"/>
        <v>3.5</v>
      </c>
      <c r="J174">
        <v>3</v>
      </c>
      <c r="L174">
        <v>4</v>
      </c>
      <c r="M174">
        <v>4</v>
      </c>
      <c r="P174">
        <v>3</v>
      </c>
    </row>
    <row r="175" spans="1:16" x14ac:dyDescent="0.2">
      <c r="A175" s="2">
        <v>4</v>
      </c>
      <c r="B175" s="2" t="s">
        <v>26</v>
      </c>
      <c r="C175" t="s">
        <v>72</v>
      </c>
      <c r="D175" s="2">
        <v>121</v>
      </c>
      <c r="E175" s="2">
        <v>1.93</v>
      </c>
      <c r="F175" s="2" t="s">
        <v>39</v>
      </c>
      <c r="G175" s="2" t="s">
        <v>63</v>
      </c>
      <c r="H175" s="2">
        <v>3.25</v>
      </c>
      <c r="I175">
        <f t="shared" si="3"/>
        <v>3.25</v>
      </c>
      <c r="J175">
        <v>3</v>
      </c>
      <c r="L175">
        <v>3</v>
      </c>
      <c r="M175">
        <v>3</v>
      </c>
      <c r="P175">
        <v>4</v>
      </c>
    </row>
    <row r="176" spans="1:16" x14ac:dyDescent="0.2">
      <c r="A176" s="2">
        <v>5</v>
      </c>
      <c r="B176" s="2" t="s">
        <v>26</v>
      </c>
      <c r="C176" t="s">
        <v>72</v>
      </c>
      <c r="D176" s="2">
        <v>115</v>
      </c>
      <c r="E176" s="2">
        <v>1.93</v>
      </c>
      <c r="F176" s="2" t="s">
        <v>39</v>
      </c>
      <c r="G176" s="2" t="s">
        <v>64</v>
      </c>
      <c r="H176" s="2">
        <v>3.25</v>
      </c>
      <c r="I176">
        <f t="shared" si="3"/>
        <v>3.25</v>
      </c>
      <c r="J176">
        <v>3</v>
      </c>
      <c r="L176">
        <v>3</v>
      </c>
      <c r="M176">
        <v>3</v>
      </c>
      <c r="P176">
        <v>4</v>
      </c>
    </row>
    <row r="177" spans="1:16" x14ac:dyDescent="0.2">
      <c r="A177" s="2">
        <v>1</v>
      </c>
      <c r="B177" s="2" t="s">
        <v>27</v>
      </c>
      <c r="C177" t="s">
        <v>72</v>
      </c>
      <c r="D177" s="2">
        <v>161</v>
      </c>
      <c r="E177" s="2">
        <v>1.79</v>
      </c>
      <c r="F177" s="2" t="s">
        <v>35</v>
      </c>
      <c r="G177" s="2" t="s">
        <v>40</v>
      </c>
      <c r="H177" s="2">
        <v>3.1666666666666665</v>
      </c>
      <c r="I177">
        <f t="shared" si="3"/>
        <v>3.1666666666666665</v>
      </c>
      <c r="J177">
        <v>3</v>
      </c>
      <c r="K177">
        <v>4</v>
      </c>
      <c r="L177">
        <v>4</v>
      </c>
      <c r="M177">
        <v>5</v>
      </c>
      <c r="N177">
        <v>2</v>
      </c>
      <c r="O177">
        <v>1</v>
      </c>
    </row>
    <row r="178" spans="1:16" x14ac:dyDescent="0.2">
      <c r="A178" s="2">
        <v>2</v>
      </c>
      <c r="B178" s="2" t="s">
        <v>27</v>
      </c>
      <c r="C178" t="s">
        <v>72</v>
      </c>
      <c r="D178" s="2">
        <v>157</v>
      </c>
      <c r="E178" s="2">
        <v>1.78</v>
      </c>
      <c r="F178" s="2" t="s">
        <v>35</v>
      </c>
      <c r="G178" s="2" t="s">
        <v>41</v>
      </c>
      <c r="H178" s="2">
        <v>3</v>
      </c>
      <c r="I178">
        <f t="shared" si="3"/>
        <v>3</v>
      </c>
      <c r="J178">
        <v>4</v>
      </c>
      <c r="K178">
        <v>4</v>
      </c>
      <c r="L178">
        <v>4</v>
      </c>
      <c r="M178">
        <v>4</v>
      </c>
      <c r="N178">
        <v>1</v>
      </c>
      <c r="O178">
        <v>1</v>
      </c>
    </row>
    <row r="179" spans="1:16" x14ac:dyDescent="0.2">
      <c r="A179" s="2">
        <v>3</v>
      </c>
      <c r="B179" s="2" t="s">
        <v>27</v>
      </c>
      <c r="C179" t="s">
        <v>72</v>
      </c>
      <c r="D179" s="2">
        <v>178</v>
      </c>
      <c r="E179" s="2">
        <v>1.8</v>
      </c>
      <c r="F179" s="2" t="s">
        <v>35</v>
      </c>
      <c r="G179" s="2" t="s">
        <v>42</v>
      </c>
      <c r="H179" s="2">
        <v>4</v>
      </c>
      <c r="I179">
        <f t="shared" si="3"/>
        <v>4</v>
      </c>
      <c r="J179">
        <v>4</v>
      </c>
      <c r="K179">
        <v>4</v>
      </c>
      <c r="L179">
        <v>4</v>
      </c>
      <c r="M179">
        <v>4</v>
      </c>
    </row>
    <row r="180" spans="1:16" x14ac:dyDescent="0.2">
      <c r="A180" s="2">
        <v>4</v>
      </c>
      <c r="B180" s="2" t="s">
        <v>27</v>
      </c>
      <c r="C180" t="s">
        <v>72</v>
      </c>
      <c r="D180" s="2">
        <v>151</v>
      </c>
      <c r="E180" s="2">
        <v>1.86</v>
      </c>
      <c r="F180" s="2" t="s">
        <v>35</v>
      </c>
      <c r="G180" s="2" t="s">
        <v>43</v>
      </c>
      <c r="H180" s="2">
        <v>4</v>
      </c>
      <c r="I180">
        <f t="shared" si="3"/>
        <v>4</v>
      </c>
      <c r="J180">
        <v>4</v>
      </c>
      <c r="K180">
        <v>4</v>
      </c>
      <c r="L180">
        <v>4</v>
      </c>
      <c r="M180">
        <v>4</v>
      </c>
    </row>
    <row r="181" spans="1:16" x14ac:dyDescent="0.2">
      <c r="A181" s="2">
        <v>5</v>
      </c>
      <c r="B181" s="2" t="s">
        <v>27</v>
      </c>
      <c r="C181" t="s">
        <v>72</v>
      </c>
      <c r="D181" s="2">
        <v>156</v>
      </c>
      <c r="E181" s="2">
        <v>1.86</v>
      </c>
      <c r="F181" s="2" t="s">
        <v>35</v>
      </c>
      <c r="G181" s="2" t="s">
        <v>44</v>
      </c>
      <c r="H181" s="2">
        <v>3.5</v>
      </c>
      <c r="I181">
        <f t="shared" si="3"/>
        <v>3.5</v>
      </c>
      <c r="J181">
        <v>4</v>
      </c>
      <c r="K181">
        <v>2</v>
      </c>
      <c r="L181">
        <v>4</v>
      </c>
      <c r="M181">
        <v>4</v>
      </c>
    </row>
    <row r="182" spans="1:16" x14ac:dyDescent="0.2">
      <c r="A182" s="2">
        <v>1</v>
      </c>
      <c r="B182" s="2" t="s">
        <v>27</v>
      </c>
      <c r="C182" t="s">
        <v>72</v>
      </c>
      <c r="D182" s="2">
        <v>150</v>
      </c>
      <c r="E182" s="2">
        <v>1.86</v>
      </c>
      <c r="F182" s="2" t="s">
        <v>36</v>
      </c>
      <c r="G182" s="2" t="s">
        <v>45</v>
      </c>
      <c r="H182" s="2">
        <v>3.5</v>
      </c>
      <c r="I182">
        <f t="shared" si="3"/>
        <v>3.5</v>
      </c>
      <c r="J182">
        <v>4</v>
      </c>
      <c r="K182">
        <v>4</v>
      </c>
      <c r="L182">
        <v>4</v>
      </c>
      <c r="M182">
        <v>4</v>
      </c>
      <c r="N182">
        <v>3</v>
      </c>
      <c r="O182">
        <v>2</v>
      </c>
    </row>
    <row r="183" spans="1:16" x14ac:dyDescent="0.2">
      <c r="A183" s="2">
        <v>2</v>
      </c>
      <c r="B183" s="2" t="s">
        <v>27</v>
      </c>
      <c r="C183" t="s">
        <v>72</v>
      </c>
      <c r="D183" s="2">
        <v>163</v>
      </c>
      <c r="E183" s="2">
        <v>1.87</v>
      </c>
      <c r="F183" s="2" t="s">
        <v>36</v>
      </c>
      <c r="G183" s="2" t="s">
        <v>46</v>
      </c>
      <c r="H183" s="2">
        <v>2.3333333333333335</v>
      </c>
      <c r="I183">
        <f t="shared" si="3"/>
        <v>2.3333333333333335</v>
      </c>
      <c r="J183">
        <v>2</v>
      </c>
      <c r="K183">
        <v>2</v>
      </c>
      <c r="L183">
        <v>2</v>
      </c>
      <c r="M183">
        <v>2</v>
      </c>
      <c r="N183">
        <v>3</v>
      </c>
      <c r="O183">
        <v>3</v>
      </c>
    </row>
    <row r="184" spans="1:16" x14ac:dyDescent="0.2">
      <c r="A184" s="2">
        <v>3</v>
      </c>
      <c r="B184" s="2" t="s">
        <v>27</v>
      </c>
      <c r="C184" t="s">
        <v>72</v>
      </c>
      <c r="D184" s="2">
        <v>150</v>
      </c>
      <c r="E184" s="2">
        <v>1.78</v>
      </c>
      <c r="F184" s="2" t="s">
        <v>36</v>
      </c>
      <c r="G184" s="2" t="s">
        <v>47</v>
      </c>
      <c r="H184" s="2">
        <v>3.3333333333333335</v>
      </c>
      <c r="I184">
        <f t="shared" si="3"/>
        <v>3.3333333333333335</v>
      </c>
      <c r="J184">
        <v>4</v>
      </c>
      <c r="K184">
        <v>3</v>
      </c>
      <c r="L184">
        <v>4</v>
      </c>
      <c r="M184">
        <v>3</v>
      </c>
      <c r="N184">
        <v>3</v>
      </c>
      <c r="O184">
        <v>3</v>
      </c>
    </row>
    <row r="185" spans="1:16" x14ac:dyDescent="0.2">
      <c r="A185" s="2">
        <v>4</v>
      </c>
      <c r="B185" s="2" t="s">
        <v>27</v>
      </c>
      <c r="C185" t="s">
        <v>72</v>
      </c>
      <c r="D185" s="2">
        <v>162</v>
      </c>
      <c r="E185" s="2">
        <v>1.87</v>
      </c>
      <c r="F185" s="2" t="s">
        <v>36</v>
      </c>
      <c r="G185" s="2" t="s">
        <v>48</v>
      </c>
      <c r="H185" s="2">
        <v>4</v>
      </c>
      <c r="I185">
        <f t="shared" si="3"/>
        <v>4</v>
      </c>
      <c r="J185">
        <v>4</v>
      </c>
      <c r="K185">
        <v>4</v>
      </c>
      <c r="L185">
        <v>4</v>
      </c>
      <c r="M185">
        <v>4</v>
      </c>
    </row>
    <row r="186" spans="1:16" x14ac:dyDescent="0.2">
      <c r="A186" s="2">
        <v>5</v>
      </c>
      <c r="B186" s="2" t="s">
        <v>27</v>
      </c>
      <c r="C186" t="s">
        <v>72</v>
      </c>
      <c r="D186" s="2">
        <v>144</v>
      </c>
      <c r="E186" s="2">
        <v>1.78</v>
      </c>
      <c r="F186" s="2" t="s">
        <v>36</v>
      </c>
      <c r="G186" s="2" t="s">
        <v>49</v>
      </c>
      <c r="H186" s="2">
        <v>3.6666666666666665</v>
      </c>
      <c r="I186">
        <f t="shared" si="3"/>
        <v>3.6666666666666665</v>
      </c>
      <c r="J186">
        <v>4</v>
      </c>
      <c r="K186">
        <v>4</v>
      </c>
      <c r="L186">
        <v>4</v>
      </c>
      <c r="M186">
        <v>4</v>
      </c>
      <c r="N186">
        <v>3</v>
      </c>
      <c r="O186">
        <v>3</v>
      </c>
    </row>
    <row r="187" spans="1:16" x14ac:dyDescent="0.2">
      <c r="A187" s="2">
        <v>1</v>
      </c>
      <c r="B187" s="2" t="s">
        <v>27</v>
      </c>
      <c r="C187" t="s">
        <v>72</v>
      </c>
      <c r="D187" s="2">
        <v>126</v>
      </c>
      <c r="E187" s="2">
        <v>1.68</v>
      </c>
      <c r="F187" s="2" t="s">
        <v>37</v>
      </c>
      <c r="G187" s="2" t="s">
        <v>50</v>
      </c>
      <c r="H187" s="2">
        <v>2.3333333333333335</v>
      </c>
      <c r="I187">
        <f t="shared" si="3"/>
        <v>2.3333333333333335</v>
      </c>
      <c r="J187">
        <v>1</v>
      </c>
      <c r="L187">
        <v>3</v>
      </c>
      <c r="M187">
        <v>3</v>
      </c>
    </row>
    <row r="188" spans="1:16" x14ac:dyDescent="0.2">
      <c r="A188" s="2">
        <v>2</v>
      </c>
      <c r="B188" s="2" t="s">
        <v>27</v>
      </c>
      <c r="C188" t="s">
        <v>72</v>
      </c>
      <c r="D188" s="2">
        <v>128</v>
      </c>
      <c r="E188" s="2">
        <v>1.68</v>
      </c>
      <c r="F188" s="2" t="s">
        <v>37</v>
      </c>
      <c r="G188" s="2" t="s">
        <v>51</v>
      </c>
      <c r="H188" s="2">
        <v>3.3333333333333335</v>
      </c>
      <c r="I188">
        <f t="shared" si="3"/>
        <v>3.3333333333333335</v>
      </c>
      <c r="J188">
        <v>3</v>
      </c>
      <c r="L188">
        <v>3</v>
      </c>
      <c r="M188">
        <v>4</v>
      </c>
    </row>
    <row r="189" spans="1:16" x14ac:dyDescent="0.2">
      <c r="A189" s="2">
        <v>3</v>
      </c>
      <c r="B189" s="2" t="s">
        <v>27</v>
      </c>
      <c r="C189" t="s">
        <v>72</v>
      </c>
      <c r="D189" s="2">
        <v>134</v>
      </c>
      <c r="E189" s="2">
        <v>1.68</v>
      </c>
      <c r="F189" s="2" t="s">
        <v>37</v>
      </c>
      <c r="G189" s="2" t="s">
        <v>52</v>
      </c>
      <c r="H189" s="2">
        <v>4</v>
      </c>
      <c r="I189">
        <f t="shared" si="3"/>
        <v>4</v>
      </c>
      <c r="J189">
        <v>4</v>
      </c>
      <c r="L189">
        <v>4</v>
      </c>
      <c r="M189">
        <v>4</v>
      </c>
    </row>
    <row r="190" spans="1:16" x14ac:dyDescent="0.2">
      <c r="A190" s="2">
        <v>4</v>
      </c>
      <c r="B190" s="2" t="s">
        <v>27</v>
      </c>
      <c r="C190" t="s">
        <v>72</v>
      </c>
      <c r="D190" s="2">
        <v>123</v>
      </c>
      <c r="E190" s="2">
        <v>1.68</v>
      </c>
      <c r="F190" s="2" t="s">
        <v>37</v>
      </c>
      <c r="G190" s="2" t="s">
        <v>53</v>
      </c>
      <c r="H190" s="2">
        <v>0.66666666666666663</v>
      </c>
      <c r="I190">
        <f t="shared" si="3"/>
        <v>0.66666666666666663</v>
      </c>
      <c r="J190">
        <v>0</v>
      </c>
      <c r="L190">
        <v>1</v>
      </c>
      <c r="M190">
        <v>1</v>
      </c>
    </row>
    <row r="191" spans="1:16" x14ac:dyDescent="0.2">
      <c r="A191" s="2">
        <v>5</v>
      </c>
      <c r="B191" s="2" t="s">
        <v>27</v>
      </c>
      <c r="C191" t="s">
        <v>72</v>
      </c>
      <c r="D191" s="2">
        <v>129</v>
      </c>
      <c r="E191" s="2">
        <v>1.69</v>
      </c>
      <c r="F191" s="2" t="s">
        <v>37</v>
      </c>
      <c r="G191" s="2" t="s">
        <v>54</v>
      </c>
      <c r="H191" s="2">
        <v>3.3333333333333335</v>
      </c>
      <c r="I191">
        <f t="shared" si="3"/>
        <v>3.3333333333333335</v>
      </c>
      <c r="J191">
        <v>4</v>
      </c>
      <c r="L191">
        <v>3</v>
      </c>
      <c r="M191">
        <v>3</v>
      </c>
    </row>
    <row r="192" spans="1:16" x14ac:dyDescent="0.2">
      <c r="A192" s="2">
        <v>1</v>
      </c>
      <c r="B192" s="2" t="s">
        <v>27</v>
      </c>
      <c r="C192" t="s">
        <v>72</v>
      </c>
      <c r="D192" s="2">
        <v>138</v>
      </c>
      <c r="E192" s="2">
        <v>1.78</v>
      </c>
      <c r="F192" s="2" t="s">
        <v>38</v>
      </c>
      <c r="G192" s="2" t="s">
        <v>55</v>
      </c>
      <c r="H192" s="2">
        <v>4</v>
      </c>
      <c r="I192">
        <f t="shared" si="3"/>
        <v>4</v>
      </c>
      <c r="J192">
        <v>4</v>
      </c>
      <c r="L192">
        <v>4</v>
      </c>
      <c r="M192">
        <v>4</v>
      </c>
      <c r="P192">
        <v>4</v>
      </c>
    </row>
    <row r="193" spans="1:16" x14ac:dyDescent="0.2">
      <c r="A193" s="2">
        <v>2</v>
      </c>
      <c r="B193" s="2" t="s">
        <v>27</v>
      </c>
      <c r="C193" t="s">
        <v>72</v>
      </c>
      <c r="D193" s="2">
        <v>150</v>
      </c>
      <c r="E193" s="2">
        <v>1.78</v>
      </c>
      <c r="F193" s="2" t="s">
        <v>38</v>
      </c>
      <c r="G193" s="2" t="s">
        <v>56</v>
      </c>
      <c r="H193" s="2">
        <v>4</v>
      </c>
      <c r="I193">
        <f t="shared" si="3"/>
        <v>4</v>
      </c>
      <c r="J193">
        <v>4</v>
      </c>
      <c r="L193">
        <v>4</v>
      </c>
      <c r="M193">
        <v>4</v>
      </c>
      <c r="P193">
        <v>4</v>
      </c>
    </row>
    <row r="194" spans="1:16" x14ac:dyDescent="0.2">
      <c r="A194" s="2">
        <v>3</v>
      </c>
      <c r="B194" s="2" t="s">
        <v>27</v>
      </c>
      <c r="C194" t="s">
        <v>72</v>
      </c>
      <c r="D194" s="2">
        <v>142</v>
      </c>
      <c r="E194" s="2">
        <v>1.78</v>
      </c>
      <c r="F194" s="2" t="s">
        <v>38</v>
      </c>
      <c r="G194" s="2" t="s">
        <v>57</v>
      </c>
      <c r="H194" s="2">
        <v>2.25</v>
      </c>
      <c r="I194">
        <f t="shared" si="3"/>
        <v>2.25</v>
      </c>
      <c r="J194">
        <v>2</v>
      </c>
      <c r="L194">
        <v>2</v>
      </c>
      <c r="M194">
        <v>2</v>
      </c>
      <c r="P194">
        <v>3</v>
      </c>
    </row>
    <row r="195" spans="1:16" x14ac:dyDescent="0.2">
      <c r="A195" s="2">
        <v>4</v>
      </c>
      <c r="B195" s="2" t="s">
        <v>27</v>
      </c>
      <c r="C195" t="s">
        <v>72</v>
      </c>
      <c r="D195" s="2">
        <v>130</v>
      </c>
      <c r="E195" s="2">
        <v>1.78</v>
      </c>
      <c r="F195" s="2" t="s">
        <v>38</v>
      </c>
      <c r="G195" s="2" t="s">
        <v>58</v>
      </c>
      <c r="H195" s="2">
        <v>2.75</v>
      </c>
      <c r="I195">
        <f t="shared" si="3"/>
        <v>2.75</v>
      </c>
      <c r="J195">
        <v>3</v>
      </c>
      <c r="L195">
        <v>3</v>
      </c>
      <c r="M195">
        <v>2</v>
      </c>
      <c r="P195">
        <v>3</v>
      </c>
    </row>
    <row r="196" spans="1:16" x14ac:dyDescent="0.2">
      <c r="A196" s="2">
        <v>5</v>
      </c>
      <c r="B196" s="2" t="s">
        <v>27</v>
      </c>
      <c r="C196" t="s">
        <v>72</v>
      </c>
      <c r="D196" s="2">
        <v>141</v>
      </c>
      <c r="E196" s="2">
        <v>1.78</v>
      </c>
      <c r="F196" s="2" t="s">
        <v>38</v>
      </c>
      <c r="G196" s="2" t="s">
        <v>59</v>
      </c>
      <c r="H196" s="2">
        <v>2.75</v>
      </c>
      <c r="I196">
        <f t="shared" si="3"/>
        <v>2.75</v>
      </c>
      <c r="J196">
        <v>3</v>
      </c>
      <c r="L196">
        <v>3</v>
      </c>
      <c r="M196">
        <v>2</v>
      </c>
      <c r="P196">
        <v>3</v>
      </c>
    </row>
    <row r="197" spans="1:16" x14ac:dyDescent="0.2">
      <c r="A197" s="2">
        <v>1</v>
      </c>
      <c r="B197" s="2" t="s">
        <v>27</v>
      </c>
      <c r="C197" t="s">
        <v>72</v>
      </c>
      <c r="D197" s="2">
        <v>120</v>
      </c>
      <c r="E197" s="2">
        <v>1.67</v>
      </c>
      <c r="F197" s="2" t="s">
        <v>39</v>
      </c>
      <c r="G197" s="2" t="s">
        <v>60</v>
      </c>
      <c r="H197" s="2">
        <v>2.25</v>
      </c>
      <c r="I197">
        <f t="shared" si="3"/>
        <v>2.25</v>
      </c>
      <c r="J197">
        <v>2</v>
      </c>
      <c r="L197">
        <v>2</v>
      </c>
      <c r="M197">
        <v>2</v>
      </c>
      <c r="P197">
        <v>3</v>
      </c>
    </row>
    <row r="198" spans="1:16" x14ac:dyDescent="0.2">
      <c r="A198" s="2">
        <v>2</v>
      </c>
      <c r="B198" s="2" t="s">
        <v>27</v>
      </c>
      <c r="C198" t="s">
        <v>72</v>
      </c>
      <c r="D198" s="2">
        <v>128</v>
      </c>
      <c r="E198" s="2">
        <v>1.68</v>
      </c>
      <c r="F198" s="2" t="s">
        <v>39</v>
      </c>
      <c r="G198" s="2" t="s">
        <v>61</v>
      </c>
      <c r="H198" s="2">
        <v>3</v>
      </c>
      <c r="I198">
        <f t="shared" si="3"/>
        <v>3</v>
      </c>
      <c r="J198">
        <v>3</v>
      </c>
      <c r="L198">
        <v>3</v>
      </c>
      <c r="M198">
        <v>3</v>
      </c>
      <c r="P198">
        <v>3</v>
      </c>
    </row>
    <row r="199" spans="1:16" x14ac:dyDescent="0.2">
      <c r="A199" s="2">
        <v>3</v>
      </c>
      <c r="B199" s="2" t="s">
        <v>27</v>
      </c>
      <c r="C199" t="s">
        <v>72</v>
      </c>
      <c r="D199" s="2">
        <v>118</v>
      </c>
      <c r="E199" s="2">
        <v>1.68</v>
      </c>
      <c r="F199" s="2" t="s">
        <v>39</v>
      </c>
      <c r="G199" s="2" t="s">
        <v>62</v>
      </c>
      <c r="H199" s="2">
        <v>3.5</v>
      </c>
      <c r="I199">
        <f t="shared" si="3"/>
        <v>3.5</v>
      </c>
      <c r="J199">
        <v>3</v>
      </c>
      <c r="L199">
        <v>4</v>
      </c>
      <c r="M199">
        <v>4</v>
      </c>
      <c r="P199">
        <v>3</v>
      </c>
    </row>
    <row r="200" spans="1:16" x14ac:dyDescent="0.2">
      <c r="A200" s="2">
        <v>4</v>
      </c>
      <c r="B200" s="2" t="s">
        <v>27</v>
      </c>
      <c r="C200" t="s">
        <v>72</v>
      </c>
      <c r="D200" s="2">
        <v>123</v>
      </c>
      <c r="E200" s="2">
        <v>1.68</v>
      </c>
      <c r="F200" s="2" t="s">
        <v>39</v>
      </c>
      <c r="G200" s="2" t="s">
        <v>63</v>
      </c>
      <c r="H200" s="2">
        <v>3.25</v>
      </c>
      <c r="I200">
        <f t="shared" si="3"/>
        <v>3.25</v>
      </c>
      <c r="J200">
        <v>3</v>
      </c>
      <c r="L200">
        <v>3</v>
      </c>
      <c r="M200">
        <v>3</v>
      </c>
      <c r="P200">
        <v>4</v>
      </c>
    </row>
    <row r="201" spans="1:16" x14ac:dyDescent="0.2">
      <c r="A201" s="2">
        <v>5</v>
      </c>
      <c r="B201" s="2" t="s">
        <v>27</v>
      </c>
      <c r="C201" t="s">
        <v>72</v>
      </c>
      <c r="D201" s="2">
        <v>117</v>
      </c>
      <c r="E201" s="2">
        <v>1.67</v>
      </c>
      <c r="F201" s="2" t="s">
        <v>39</v>
      </c>
      <c r="G201" s="2" t="s">
        <v>64</v>
      </c>
      <c r="H201" s="2">
        <v>3</v>
      </c>
      <c r="I201">
        <f t="shared" si="3"/>
        <v>3</v>
      </c>
      <c r="J201">
        <v>3</v>
      </c>
      <c r="L201">
        <v>3</v>
      </c>
      <c r="M201">
        <v>2</v>
      </c>
      <c r="P201">
        <v>4</v>
      </c>
    </row>
    <row r="202" spans="1:16" x14ac:dyDescent="0.2">
      <c r="A202" s="2">
        <v>1</v>
      </c>
      <c r="B202" s="2" t="s">
        <v>28</v>
      </c>
      <c r="C202" t="s">
        <v>72</v>
      </c>
      <c r="D202" s="2">
        <v>58</v>
      </c>
      <c r="E202" s="2">
        <v>0.09</v>
      </c>
      <c r="F202" s="2" t="s">
        <v>35</v>
      </c>
      <c r="G202" s="2" t="s">
        <v>40</v>
      </c>
      <c r="H202" s="2">
        <v>3.25</v>
      </c>
      <c r="I202">
        <f t="shared" si="3"/>
        <v>3.25</v>
      </c>
      <c r="J202">
        <v>3</v>
      </c>
      <c r="K202">
        <v>1</v>
      </c>
      <c r="L202">
        <v>4</v>
      </c>
      <c r="M202">
        <v>5</v>
      </c>
    </row>
    <row r="203" spans="1:16" x14ac:dyDescent="0.2">
      <c r="A203" s="2">
        <v>2</v>
      </c>
      <c r="B203" s="2" t="s">
        <v>28</v>
      </c>
      <c r="C203" t="s">
        <v>72</v>
      </c>
      <c r="D203" s="2">
        <v>155</v>
      </c>
      <c r="E203" s="2">
        <v>1.38</v>
      </c>
      <c r="F203" s="2" t="s">
        <v>35</v>
      </c>
      <c r="G203" s="2" t="s">
        <v>41</v>
      </c>
      <c r="H203" s="2">
        <v>3.6666666666666665</v>
      </c>
      <c r="I203">
        <f t="shared" si="3"/>
        <v>3.6666666666666665</v>
      </c>
      <c r="J203">
        <v>4</v>
      </c>
      <c r="K203">
        <v>3</v>
      </c>
      <c r="L203">
        <v>4</v>
      </c>
      <c r="M203">
        <v>4</v>
      </c>
      <c r="N203">
        <v>4</v>
      </c>
      <c r="O203">
        <v>3</v>
      </c>
    </row>
    <row r="204" spans="1:16" x14ac:dyDescent="0.2">
      <c r="A204" s="2">
        <v>3</v>
      </c>
      <c r="B204" s="2" t="s">
        <v>28</v>
      </c>
      <c r="C204" t="s">
        <v>72</v>
      </c>
      <c r="D204" s="2">
        <v>171</v>
      </c>
      <c r="E204" s="2">
        <v>1.38</v>
      </c>
      <c r="F204" s="2" t="s">
        <v>35</v>
      </c>
      <c r="G204" s="2" t="s">
        <v>42</v>
      </c>
      <c r="H204" s="2">
        <v>3.8333333333333335</v>
      </c>
      <c r="I204">
        <f t="shared" ref="I204:I267" si="4">AVERAGE(J204:P204)</f>
        <v>3.8333333333333335</v>
      </c>
      <c r="J204">
        <v>3</v>
      </c>
      <c r="K204">
        <v>4</v>
      </c>
      <c r="L204">
        <v>4</v>
      </c>
      <c r="M204">
        <v>4</v>
      </c>
      <c r="N204">
        <v>4</v>
      </c>
      <c r="O204">
        <v>4</v>
      </c>
    </row>
    <row r="205" spans="1:16" x14ac:dyDescent="0.2">
      <c r="A205" s="2">
        <v>4</v>
      </c>
      <c r="B205" s="2" t="s">
        <v>28</v>
      </c>
      <c r="C205" t="s">
        <v>72</v>
      </c>
      <c r="D205" s="2">
        <v>50</v>
      </c>
      <c r="E205" s="2">
        <v>0.09</v>
      </c>
      <c r="F205" s="2" t="s">
        <v>35</v>
      </c>
      <c r="G205" s="2" t="s">
        <v>43</v>
      </c>
      <c r="H205" s="2">
        <v>4.5</v>
      </c>
      <c r="I205">
        <f t="shared" si="4"/>
        <v>4.5</v>
      </c>
      <c r="J205">
        <v>5</v>
      </c>
      <c r="K205">
        <v>3</v>
      </c>
      <c r="L205">
        <v>5</v>
      </c>
      <c r="M205">
        <v>5</v>
      </c>
    </row>
    <row r="206" spans="1:16" x14ac:dyDescent="0.2">
      <c r="A206" s="2">
        <v>5</v>
      </c>
      <c r="B206" s="2" t="s">
        <v>28</v>
      </c>
      <c r="C206" t="s">
        <v>72</v>
      </c>
      <c r="D206" s="2">
        <v>73</v>
      </c>
      <c r="E206" s="2">
        <v>0.34</v>
      </c>
      <c r="F206" s="2" t="s">
        <v>35</v>
      </c>
      <c r="G206" s="2" t="s">
        <v>44</v>
      </c>
      <c r="H206" s="2">
        <v>3</v>
      </c>
      <c r="I206">
        <f t="shared" si="4"/>
        <v>3</v>
      </c>
      <c r="J206">
        <v>3</v>
      </c>
      <c r="K206">
        <v>3</v>
      </c>
      <c r="L206">
        <v>3</v>
      </c>
      <c r="M206">
        <v>3</v>
      </c>
    </row>
    <row r="207" spans="1:16" x14ac:dyDescent="0.2">
      <c r="A207" s="2">
        <v>1</v>
      </c>
      <c r="B207" s="2" t="s">
        <v>28</v>
      </c>
      <c r="C207" t="s">
        <v>72</v>
      </c>
      <c r="D207" s="2">
        <v>138</v>
      </c>
      <c r="E207" s="2">
        <v>1.3</v>
      </c>
      <c r="F207" s="2" t="s">
        <v>36</v>
      </c>
      <c r="G207" s="2" t="s">
        <v>45</v>
      </c>
      <c r="H207" s="2">
        <v>3.5</v>
      </c>
      <c r="I207">
        <f t="shared" si="4"/>
        <v>3.5</v>
      </c>
      <c r="J207">
        <v>4</v>
      </c>
      <c r="K207">
        <v>4</v>
      </c>
      <c r="L207">
        <v>4</v>
      </c>
      <c r="M207">
        <v>4</v>
      </c>
      <c r="N207">
        <v>3</v>
      </c>
      <c r="O207">
        <v>2</v>
      </c>
    </row>
    <row r="208" spans="1:16" x14ac:dyDescent="0.2">
      <c r="A208" s="2">
        <v>2</v>
      </c>
      <c r="B208" s="2" t="s">
        <v>28</v>
      </c>
      <c r="C208" t="s">
        <v>72</v>
      </c>
      <c r="D208" s="2">
        <v>152</v>
      </c>
      <c r="E208" s="2">
        <v>1.32</v>
      </c>
      <c r="F208" s="2" t="s">
        <v>36</v>
      </c>
      <c r="G208" s="2" t="s">
        <v>46</v>
      </c>
      <c r="H208" s="2">
        <v>3</v>
      </c>
      <c r="I208">
        <f t="shared" si="4"/>
        <v>3</v>
      </c>
      <c r="J208">
        <v>3</v>
      </c>
      <c r="K208">
        <v>3</v>
      </c>
      <c r="L208">
        <v>3</v>
      </c>
      <c r="M208">
        <v>3</v>
      </c>
      <c r="N208">
        <v>3</v>
      </c>
      <c r="O208">
        <v>3</v>
      </c>
    </row>
    <row r="209" spans="1:16" x14ac:dyDescent="0.2">
      <c r="A209" s="2">
        <v>3</v>
      </c>
      <c r="B209" s="2" t="s">
        <v>28</v>
      </c>
      <c r="C209" t="s">
        <v>72</v>
      </c>
      <c r="D209" s="2">
        <v>137</v>
      </c>
      <c r="E209" s="2">
        <v>1.26</v>
      </c>
      <c r="F209" s="2" t="s">
        <v>36</v>
      </c>
      <c r="G209" s="2" t="s">
        <v>47</v>
      </c>
      <c r="H209" s="2">
        <v>3</v>
      </c>
      <c r="I209">
        <f t="shared" si="4"/>
        <v>3</v>
      </c>
      <c r="J209">
        <v>3</v>
      </c>
      <c r="K209">
        <v>3</v>
      </c>
      <c r="L209">
        <v>3</v>
      </c>
      <c r="M209">
        <v>3</v>
      </c>
      <c r="N209">
        <v>3</v>
      </c>
      <c r="O209">
        <v>3</v>
      </c>
    </row>
    <row r="210" spans="1:16" x14ac:dyDescent="0.2">
      <c r="A210" s="2">
        <v>4</v>
      </c>
      <c r="B210" s="2" t="s">
        <v>28</v>
      </c>
      <c r="C210" t="s">
        <v>72</v>
      </c>
      <c r="D210" s="2">
        <v>58</v>
      </c>
      <c r="E210" s="2">
        <v>0.09</v>
      </c>
      <c r="F210" s="2" t="s">
        <v>36</v>
      </c>
      <c r="G210" s="2" t="s">
        <v>48</v>
      </c>
      <c r="H210" s="2">
        <v>3.6666666666666665</v>
      </c>
      <c r="I210">
        <f t="shared" si="4"/>
        <v>3.6666666666666665</v>
      </c>
      <c r="J210">
        <v>4</v>
      </c>
      <c r="K210">
        <v>4</v>
      </c>
      <c r="L210">
        <v>4</v>
      </c>
      <c r="M210">
        <v>4</v>
      </c>
      <c r="N210">
        <v>3</v>
      </c>
      <c r="O210">
        <v>3</v>
      </c>
    </row>
    <row r="211" spans="1:16" x14ac:dyDescent="0.2">
      <c r="A211" s="2">
        <v>5</v>
      </c>
      <c r="B211" s="2" t="s">
        <v>28</v>
      </c>
      <c r="C211" t="s">
        <v>72</v>
      </c>
      <c r="D211" s="2">
        <v>131</v>
      </c>
      <c r="E211" s="2">
        <v>1.26</v>
      </c>
      <c r="F211" s="2" t="s">
        <v>36</v>
      </c>
      <c r="G211" s="2" t="s">
        <v>49</v>
      </c>
      <c r="H211" s="2">
        <v>3.6666666666666665</v>
      </c>
      <c r="I211">
        <f t="shared" si="4"/>
        <v>3.6666666666666665</v>
      </c>
      <c r="J211">
        <v>4</v>
      </c>
      <c r="K211">
        <v>4</v>
      </c>
      <c r="L211">
        <v>4</v>
      </c>
      <c r="M211">
        <v>4</v>
      </c>
      <c r="N211">
        <v>3</v>
      </c>
      <c r="O211">
        <v>3</v>
      </c>
    </row>
    <row r="212" spans="1:16" x14ac:dyDescent="0.2">
      <c r="A212" s="2">
        <v>1</v>
      </c>
      <c r="B212" s="2" t="s">
        <v>28</v>
      </c>
      <c r="C212" t="s">
        <v>72</v>
      </c>
      <c r="D212" s="2">
        <v>122</v>
      </c>
      <c r="E212" s="2">
        <v>1.28</v>
      </c>
      <c r="F212" s="2" t="s">
        <v>37</v>
      </c>
      <c r="G212" s="2" t="s">
        <v>50</v>
      </c>
      <c r="H212" s="2">
        <v>1.3333333333333333</v>
      </c>
      <c r="I212">
        <f t="shared" si="4"/>
        <v>1.3333333333333333</v>
      </c>
      <c r="J212">
        <v>2</v>
      </c>
      <c r="L212">
        <v>1</v>
      </c>
      <c r="M212">
        <v>1</v>
      </c>
    </row>
    <row r="213" spans="1:16" x14ac:dyDescent="0.2">
      <c r="A213" s="2">
        <v>2</v>
      </c>
      <c r="B213" s="2" t="s">
        <v>28</v>
      </c>
      <c r="C213" t="s">
        <v>72</v>
      </c>
      <c r="D213" s="2">
        <v>125</v>
      </c>
      <c r="E213" s="2">
        <v>1.28</v>
      </c>
      <c r="F213" s="2" t="s">
        <v>37</v>
      </c>
      <c r="G213" s="2" t="s">
        <v>51</v>
      </c>
      <c r="H213" s="2">
        <v>3.6666666666666665</v>
      </c>
      <c r="I213">
        <f t="shared" si="4"/>
        <v>3.6666666666666665</v>
      </c>
      <c r="J213">
        <v>3</v>
      </c>
      <c r="L213">
        <v>4</v>
      </c>
      <c r="M213">
        <v>4</v>
      </c>
    </row>
    <row r="214" spans="1:16" x14ac:dyDescent="0.2">
      <c r="A214" s="2">
        <v>3</v>
      </c>
      <c r="B214" s="2" t="s">
        <v>28</v>
      </c>
      <c r="C214" t="s">
        <v>72</v>
      </c>
      <c r="D214" s="2">
        <v>69</v>
      </c>
      <c r="E214" s="2">
        <v>0.51</v>
      </c>
      <c r="F214" s="2" t="s">
        <v>37</v>
      </c>
      <c r="G214" s="2" t="s">
        <v>52</v>
      </c>
      <c r="H214" s="2">
        <v>4</v>
      </c>
      <c r="I214">
        <f t="shared" si="4"/>
        <v>4</v>
      </c>
      <c r="J214">
        <v>4</v>
      </c>
      <c r="L214">
        <v>4</v>
      </c>
      <c r="M214">
        <v>4</v>
      </c>
    </row>
    <row r="215" spans="1:16" x14ac:dyDescent="0.2">
      <c r="A215" s="2">
        <v>4</v>
      </c>
      <c r="B215" s="2" t="s">
        <v>28</v>
      </c>
      <c r="C215" t="s">
        <v>72</v>
      </c>
      <c r="D215" s="2">
        <v>39</v>
      </c>
      <c r="E215" s="2">
        <v>0.26</v>
      </c>
      <c r="F215" s="2" t="s">
        <v>37</v>
      </c>
      <c r="G215" s="2" t="s">
        <v>53</v>
      </c>
      <c r="H215" s="2">
        <v>4</v>
      </c>
      <c r="I215">
        <f t="shared" si="4"/>
        <v>4</v>
      </c>
      <c r="J215">
        <v>4</v>
      </c>
      <c r="L215">
        <v>4</v>
      </c>
      <c r="M215">
        <v>4</v>
      </c>
    </row>
    <row r="216" spans="1:16" x14ac:dyDescent="0.2">
      <c r="A216" s="2">
        <v>5</v>
      </c>
      <c r="B216" s="2" t="s">
        <v>28</v>
      </c>
      <c r="C216" t="s">
        <v>72</v>
      </c>
      <c r="D216" s="2">
        <v>87</v>
      </c>
      <c r="E216" s="2">
        <v>0.78</v>
      </c>
      <c r="F216" s="2" t="s">
        <v>37</v>
      </c>
      <c r="G216" s="2" t="s">
        <v>54</v>
      </c>
      <c r="H216" s="2">
        <v>3</v>
      </c>
      <c r="I216">
        <f t="shared" si="4"/>
        <v>3</v>
      </c>
      <c r="J216">
        <v>3</v>
      </c>
      <c r="L216">
        <v>3</v>
      </c>
      <c r="M216">
        <v>3</v>
      </c>
    </row>
    <row r="217" spans="1:16" x14ac:dyDescent="0.2">
      <c r="A217" s="2">
        <v>1</v>
      </c>
      <c r="B217" s="2" t="s">
        <v>28</v>
      </c>
      <c r="C217" t="s">
        <v>72</v>
      </c>
      <c r="D217" s="2">
        <v>130</v>
      </c>
      <c r="E217" s="2">
        <v>1.42</v>
      </c>
      <c r="F217" s="2" t="s">
        <v>38</v>
      </c>
      <c r="G217" s="2" t="s">
        <v>55</v>
      </c>
      <c r="H217" s="2">
        <v>4</v>
      </c>
      <c r="I217">
        <f t="shared" si="4"/>
        <v>4</v>
      </c>
      <c r="J217">
        <v>4</v>
      </c>
      <c r="L217">
        <v>4</v>
      </c>
      <c r="M217">
        <v>4</v>
      </c>
      <c r="P217">
        <v>4</v>
      </c>
    </row>
    <row r="218" spans="1:16" x14ac:dyDescent="0.2">
      <c r="A218" s="2">
        <v>2</v>
      </c>
      <c r="B218" s="2" t="s">
        <v>28</v>
      </c>
      <c r="C218" t="s">
        <v>72</v>
      </c>
      <c r="D218" s="2">
        <v>114</v>
      </c>
      <c r="E218" s="2">
        <v>0.94</v>
      </c>
      <c r="F218" s="2" t="s">
        <v>38</v>
      </c>
      <c r="G218" s="2" t="s">
        <v>56</v>
      </c>
      <c r="H218" s="2">
        <v>4</v>
      </c>
      <c r="I218">
        <f t="shared" si="4"/>
        <v>4</v>
      </c>
      <c r="J218">
        <v>4</v>
      </c>
      <c r="L218">
        <v>4</v>
      </c>
      <c r="M218">
        <v>4</v>
      </c>
      <c r="P218">
        <v>4</v>
      </c>
    </row>
    <row r="219" spans="1:16" x14ac:dyDescent="0.2">
      <c r="A219" s="2">
        <v>3</v>
      </c>
      <c r="B219" s="2" t="s">
        <v>28</v>
      </c>
      <c r="C219" t="s">
        <v>72</v>
      </c>
      <c r="D219" s="2">
        <v>100</v>
      </c>
      <c r="E219" s="2">
        <v>0.96</v>
      </c>
      <c r="F219" s="2" t="s">
        <v>38</v>
      </c>
      <c r="G219" s="2" t="s">
        <v>57</v>
      </c>
      <c r="H219" s="2">
        <v>3.25</v>
      </c>
      <c r="I219">
        <f t="shared" si="4"/>
        <v>3.25</v>
      </c>
      <c r="J219">
        <v>3</v>
      </c>
      <c r="L219">
        <v>3</v>
      </c>
      <c r="M219">
        <v>3</v>
      </c>
      <c r="P219">
        <v>4</v>
      </c>
    </row>
    <row r="220" spans="1:16" x14ac:dyDescent="0.2">
      <c r="A220" s="2">
        <v>4</v>
      </c>
      <c r="B220" s="2" t="s">
        <v>28</v>
      </c>
      <c r="C220" t="s">
        <v>72</v>
      </c>
      <c r="D220" s="2">
        <v>92</v>
      </c>
      <c r="E220" s="2">
        <v>0.94</v>
      </c>
      <c r="F220" s="2" t="s">
        <v>38</v>
      </c>
      <c r="G220" s="2" t="s">
        <v>58</v>
      </c>
      <c r="H220" s="2">
        <v>3</v>
      </c>
      <c r="I220">
        <f t="shared" si="4"/>
        <v>3</v>
      </c>
      <c r="J220">
        <v>3</v>
      </c>
      <c r="L220">
        <v>3</v>
      </c>
      <c r="M220">
        <v>3</v>
      </c>
      <c r="P220">
        <v>3</v>
      </c>
    </row>
    <row r="221" spans="1:16" x14ac:dyDescent="0.2">
      <c r="A221" s="2">
        <v>5</v>
      </c>
      <c r="B221" s="2" t="s">
        <v>28</v>
      </c>
      <c r="C221" t="s">
        <v>72</v>
      </c>
      <c r="D221" s="2">
        <v>85</v>
      </c>
      <c r="E221" s="2">
        <v>0.71</v>
      </c>
      <c r="F221" s="2" t="s">
        <v>38</v>
      </c>
      <c r="G221" s="2" t="s">
        <v>59</v>
      </c>
      <c r="H221" s="2">
        <v>3.75</v>
      </c>
      <c r="I221">
        <f t="shared" si="4"/>
        <v>3.75</v>
      </c>
      <c r="J221">
        <v>4</v>
      </c>
      <c r="L221">
        <v>4</v>
      </c>
      <c r="M221">
        <v>4</v>
      </c>
      <c r="O221" t="s">
        <v>69</v>
      </c>
      <c r="P221">
        <v>3</v>
      </c>
    </row>
    <row r="222" spans="1:16" x14ac:dyDescent="0.2">
      <c r="A222" s="2">
        <v>1</v>
      </c>
      <c r="B222" s="2" t="s">
        <v>28</v>
      </c>
      <c r="C222" t="s">
        <v>72</v>
      </c>
      <c r="D222" s="2">
        <v>78</v>
      </c>
      <c r="E222" s="2">
        <v>0.78</v>
      </c>
      <c r="F222" s="2" t="s">
        <v>39</v>
      </c>
      <c r="G222" s="2" t="s">
        <v>60</v>
      </c>
      <c r="H222" s="2">
        <v>3.25</v>
      </c>
      <c r="I222">
        <f t="shared" si="4"/>
        <v>3.25</v>
      </c>
      <c r="J222">
        <v>3</v>
      </c>
      <c r="L222">
        <v>3</v>
      </c>
      <c r="M222">
        <v>3</v>
      </c>
      <c r="P222">
        <v>4</v>
      </c>
    </row>
    <row r="223" spans="1:16" x14ac:dyDescent="0.2">
      <c r="A223" s="2">
        <v>2</v>
      </c>
      <c r="B223" s="2" t="s">
        <v>28</v>
      </c>
      <c r="C223" t="s">
        <v>72</v>
      </c>
      <c r="D223" s="2">
        <v>65</v>
      </c>
      <c r="E223" s="2">
        <v>0.54</v>
      </c>
      <c r="F223" s="2" t="s">
        <v>39</v>
      </c>
      <c r="G223" s="2" t="s">
        <v>61</v>
      </c>
      <c r="H223" s="2">
        <v>3.75</v>
      </c>
      <c r="I223">
        <f t="shared" si="4"/>
        <v>3.75</v>
      </c>
      <c r="J223">
        <v>3</v>
      </c>
      <c r="L223">
        <v>4</v>
      </c>
      <c r="M223">
        <v>4</v>
      </c>
      <c r="P223">
        <v>4</v>
      </c>
    </row>
    <row r="224" spans="1:16" x14ac:dyDescent="0.2">
      <c r="A224" s="2">
        <v>3</v>
      </c>
      <c r="B224" s="2" t="s">
        <v>28</v>
      </c>
      <c r="C224" t="s">
        <v>72</v>
      </c>
      <c r="D224" s="2">
        <v>114</v>
      </c>
      <c r="E224" s="2">
        <v>1.26</v>
      </c>
      <c r="F224" s="2" t="s">
        <v>39</v>
      </c>
      <c r="G224" s="2" t="s">
        <v>62</v>
      </c>
      <c r="H224" s="2">
        <v>3.5</v>
      </c>
      <c r="I224">
        <f t="shared" si="4"/>
        <v>3.5</v>
      </c>
      <c r="J224">
        <v>3</v>
      </c>
      <c r="L224">
        <v>4</v>
      </c>
      <c r="M224">
        <v>4</v>
      </c>
      <c r="P224">
        <v>3</v>
      </c>
    </row>
    <row r="225" spans="1:16" x14ac:dyDescent="0.2">
      <c r="A225" s="2">
        <v>4</v>
      </c>
      <c r="B225" s="2" t="s">
        <v>28</v>
      </c>
      <c r="C225" t="s">
        <v>72</v>
      </c>
      <c r="D225" s="2">
        <v>58</v>
      </c>
      <c r="E225" s="2">
        <v>0.52</v>
      </c>
      <c r="F225" s="2" t="s">
        <v>39</v>
      </c>
      <c r="G225" s="2" t="s">
        <v>63</v>
      </c>
      <c r="H225" s="2">
        <v>4</v>
      </c>
      <c r="I225">
        <f t="shared" si="4"/>
        <v>4</v>
      </c>
      <c r="J225">
        <v>4</v>
      </c>
      <c r="L225">
        <v>4</v>
      </c>
      <c r="M225">
        <v>4</v>
      </c>
      <c r="P225">
        <v>4</v>
      </c>
    </row>
    <row r="226" spans="1:16" x14ac:dyDescent="0.2">
      <c r="A226" s="2">
        <v>5</v>
      </c>
      <c r="B226" s="2" t="s">
        <v>28</v>
      </c>
      <c r="C226" t="s">
        <v>72</v>
      </c>
      <c r="D226" s="2">
        <v>91</v>
      </c>
      <c r="E226" s="2">
        <v>0.96</v>
      </c>
      <c r="F226" s="2" t="s">
        <v>39</v>
      </c>
      <c r="G226" s="2" t="s">
        <v>64</v>
      </c>
      <c r="H226" s="2">
        <v>3</v>
      </c>
      <c r="I226">
        <f t="shared" si="4"/>
        <v>3</v>
      </c>
      <c r="J226">
        <v>3</v>
      </c>
      <c r="L226">
        <v>3</v>
      </c>
      <c r="M226">
        <v>3</v>
      </c>
      <c r="P226">
        <v>3</v>
      </c>
    </row>
    <row r="227" spans="1:16" x14ac:dyDescent="0.2">
      <c r="A227" s="2">
        <v>1</v>
      </c>
      <c r="B227" s="2" t="s">
        <v>29</v>
      </c>
      <c r="C227" t="s">
        <v>73</v>
      </c>
      <c r="D227" s="2">
        <v>140</v>
      </c>
      <c r="E227" s="2">
        <v>2.2200000000000002</v>
      </c>
      <c r="F227" s="2" t="s">
        <v>35</v>
      </c>
      <c r="G227" s="2" t="s">
        <v>40</v>
      </c>
      <c r="H227" s="2">
        <v>2.5</v>
      </c>
      <c r="I227">
        <f t="shared" si="4"/>
        <v>2.5</v>
      </c>
      <c r="J227">
        <v>2</v>
      </c>
      <c r="K227">
        <v>3</v>
      </c>
      <c r="L227">
        <v>3</v>
      </c>
      <c r="M227">
        <v>3</v>
      </c>
      <c r="N227">
        <v>3</v>
      </c>
      <c r="O227">
        <v>1</v>
      </c>
    </row>
    <row r="228" spans="1:16" x14ac:dyDescent="0.2">
      <c r="A228" s="2">
        <v>2</v>
      </c>
      <c r="B228" s="2" t="s">
        <v>29</v>
      </c>
      <c r="C228" t="s">
        <v>73</v>
      </c>
      <c r="D228" s="2">
        <v>62</v>
      </c>
      <c r="E228" s="2">
        <v>0.17</v>
      </c>
      <c r="F228" s="2" t="s">
        <v>35</v>
      </c>
      <c r="G228" s="2" t="s">
        <v>41</v>
      </c>
      <c r="H228" s="2">
        <v>3.25</v>
      </c>
      <c r="I228">
        <f t="shared" si="4"/>
        <v>3.25</v>
      </c>
      <c r="J228">
        <v>4</v>
      </c>
      <c r="K228">
        <v>1</v>
      </c>
      <c r="L228">
        <v>4</v>
      </c>
      <c r="M228">
        <v>4</v>
      </c>
    </row>
    <row r="229" spans="1:16" x14ac:dyDescent="0.2">
      <c r="A229" s="2">
        <v>3</v>
      </c>
      <c r="B229" s="2" t="s">
        <v>29</v>
      </c>
      <c r="C229" t="s">
        <v>73</v>
      </c>
      <c r="D229" s="2">
        <v>135</v>
      </c>
      <c r="E229" s="2">
        <v>1.66</v>
      </c>
      <c r="F229" s="2" t="s">
        <v>35</v>
      </c>
      <c r="G229" s="2" t="s">
        <v>42</v>
      </c>
      <c r="H229" s="2">
        <v>2.5</v>
      </c>
      <c r="I229">
        <f t="shared" si="4"/>
        <v>2.5</v>
      </c>
      <c r="J229">
        <v>2</v>
      </c>
      <c r="K229">
        <v>1</v>
      </c>
      <c r="L229">
        <v>3</v>
      </c>
      <c r="M229">
        <v>3</v>
      </c>
      <c r="N229">
        <v>4</v>
      </c>
      <c r="O229">
        <v>2</v>
      </c>
    </row>
    <row r="230" spans="1:16" x14ac:dyDescent="0.2">
      <c r="A230" s="2">
        <v>4</v>
      </c>
      <c r="B230" s="2" t="s">
        <v>29</v>
      </c>
      <c r="C230" t="s">
        <v>73</v>
      </c>
      <c r="D230" s="2">
        <v>104</v>
      </c>
      <c r="E230" s="2">
        <v>1.53</v>
      </c>
      <c r="F230" s="2" t="s">
        <v>35</v>
      </c>
      <c r="G230" s="2" t="s">
        <v>43</v>
      </c>
      <c r="H230" s="2">
        <v>2.8333333333333335</v>
      </c>
      <c r="I230">
        <f t="shared" si="4"/>
        <v>2.8333333333333335</v>
      </c>
      <c r="J230">
        <v>3</v>
      </c>
      <c r="K230">
        <v>3</v>
      </c>
      <c r="L230">
        <v>3</v>
      </c>
      <c r="M230">
        <v>3</v>
      </c>
      <c r="N230">
        <v>3</v>
      </c>
      <c r="O230">
        <v>2</v>
      </c>
    </row>
    <row r="231" spans="1:16" x14ac:dyDescent="0.2">
      <c r="A231" s="2">
        <v>5</v>
      </c>
      <c r="B231" s="2" t="s">
        <v>29</v>
      </c>
      <c r="C231" t="s">
        <v>73</v>
      </c>
      <c r="D231" s="2">
        <v>153</v>
      </c>
      <c r="E231" s="2">
        <v>2.67</v>
      </c>
      <c r="F231" s="2" t="s">
        <v>35</v>
      </c>
      <c r="G231" s="2" t="s">
        <v>44</v>
      </c>
      <c r="H231" s="2">
        <v>3</v>
      </c>
      <c r="I231">
        <f t="shared" si="4"/>
        <v>3</v>
      </c>
      <c r="J231">
        <v>3</v>
      </c>
      <c r="K231">
        <v>3</v>
      </c>
      <c r="L231">
        <v>3</v>
      </c>
      <c r="M231">
        <v>3</v>
      </c>
    </row>
    <row r="232" spans="1:16" x14ac:dyDescent="0.2">
      <c r="A232" s="2">
        <v>1</v>
      </c>
      <c r="B232" s="2" t="s">
        <v>29</v>
      </c>
      <c r="C232" t="s">
        <v>73</v>
      </c>
      <c r="D232" s="2">
        <v>151</v>
      </c>
      <c r="E232" s="2">
        <v>2.77</v>
      </c>
      <c r="F232" s="2" t="s">
        <v>36</v>
      </c>
      <c r="G232" s="2" t="s">
        <v>45</v>
      </c>
      <c r="H232" s="2">
        <v>3.3333333333333335</v>
      </c>
      <c r="I232">
        <f t="shared" si="4"/>
        <v>3.3333333333333335</v>
      </c>
      <c r="J232">
        <v>4</v>
      </c>
      <c r="K232">
        <v>4</v>
      </c>
      <c r="L232">
        <v>4</v>
      </c>
      <c r="M232">
        <v>4</v>
      </c>
      <c r="N232">
        <v>2</v>
      </c>
      <c r="O232">
        <v>2</v>
      </c>
    </row>
    <row r="233" spans="1:16" x14ac:dyDescent="0.2">
      <c r="A233" s="2">
        <v>2</v>
      </c>
      <c r="B233" s="2" t="s">
        <v>29</v>
      </c>
      <c r="C233" t="s">
        <v>73</v>
      </c>
      <c r="D233" s="2">
        <v>165</v>
      </c>
      <c r="E233" s="2">
        <v>2.77</v>
      </c>
      <c r="F233" s="2" t="s">
        <v>36</v>
      </c>
      <c r="G233" s="2" t="s">
        <v>46</v>
      </c>
      <c r="H233" s="2">
        <v>3</v>
      </c>
      <c r="I233">
        <f t="shared" si="4"/>
        <v>3</v>
      </c>
      <c r="J233">
        <v>3</v>
      </c>
      <c r="K233">
        <v>3</v>
      </c>
      <c r="L233">
        <v>3</v>
      </c>
      <c r="M233">
        <v>3</v>
      </c>
      <c r="N233">
        <v>3</v>
      </c>
      <c r="O233">
        <v>3</v>
      </c>
    </row>
    <row r="234" spans="1:16" x14ac:dyDescent="0.2">
      <c r="A234" s="2">
        <v>3</v>
      </c>
      <c r="B234" s="2" t="s">
        <v>29</v>
      </c>
      <c r="C234" t="s">
        <v>73</v>
      </c>
      <c r="D234" s="2">
        <v>150</v>
      </c>
      <c r="E234" s="2">
        <v>2.72</v>
      </c>
      <c r="F234" s="2" t="s">
        <v>36</v>
      </c>
      <c r="G234" s="2" t="s">
        <v>47</v>
      </c>
      <c r="H234" s="2">
        <v>3</v>
      </c>
      <c r="I234">
        <f t="shared" si="4"/>
        <v>3</v>
      </c>
      <c r="J234">
        <v>3</v>
      </c>
      <c r="K234">
        <v>3</v>
      </c>
      <c r="L234">
        <v>3</v>
      </c>
      <c r="M234">
        <v>3</v>
      </c>
      <c r="N234">
        <v>3</v>
      </c>
      <c r="O234">
        <v>3</v>
      </c>
    </row>
    <row r="235" spans="1:16" x14ac:dyDescent="0.2">
      <c r="A235" s="2">
        <v>4</v>
      </c>
      <c r="B235" s="2" t="s">
        <v>29</v>
      </c>
      <c r="C235" t="s">
        <v>73</v>
      </c>
      <c r="D235" s="2">
        <v>159</v>
      </c>
      <c r="E235" s="2">
        <v>2.72</v>
      </c>
      <c r="F235" s="2" t="s">
        <v>36</v>
      </c>
      <c r="G235" s="2" t="s">
        <v>48</v>
      </c>
      <c r="H235" s="2">
        <v>3</v>
      </c>
      <c r="I235">
        <f t="shared" si="4"/>
        <v>3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3</v>
      </c>
    </row>
    <row r="236" spans="1:16" x14ac:dyDescent="0.2">
      <c r="A236" s="2">
        <v>5</v>
      </c>
      <c r="B236" s="2" t="s">
        <v>29</v>
      </c>
      <c r="C236" t="s">
        <v>73</v>
      </c>
      <c r="D236" s="2">
        <v>144</v>
      </c>
      <c r="E236" s="2">
        <v>2.72</v>
      </c>
      <c r="F236" s="2" t="s">
        <v>36</v>
      </c>
      <c r="G236" s="2" t="s">
        <v>49</v>
      </c>
      <c r="H236" s="2">
        <v>3.6666666666666665</v>
      </c>
      <c r="I236">
        <f t="shared" si="4"/>
        <v>3.6666666666666665</v>
      </c>
      <c r="J236">
        <v>4</v>
      </c>
      <c r="K236">
        <v>4</v>
      </c>
      <c r="L236">
        <v>4</v>
      </c>
      <c r="M236">
        <v>4</v>
      </c>
      <c r="N236">
        <v>3</v>
      </c>
      <c r="O236">
        <v>3</v>
      </c>
    </row>
    <row r="237" spans="1:16" x14ac:dyDescent="0.2">
      <c r="A237" s="2">
        <v>1</v>
      </c>
      <c r="B237" s="2" t="s">
        <v>29</v>
      </c>
      <c r="C237" t="s">
        <v>73</v>
      </c>
      <c r="D237" s="2">
        <v>124</v>
      </c>
      <c r="E237" s="2">
        <v>2.6</v>
      </c>
      <c r="F237" s="2" t="s">
        <v>37</v>
      </c>
      <c r="G237" s="2" t="s">
        <v>50</v>
      </c>
      <c r="H237" s="2">
        <v>3.6666666666666665</v>
      </c>
      <c r="I237">
        <f t="shared" si="4"/>
        <v>3.6666666666666665</v>
      </c>
      <c r="J237">
        <v>3</v>
      </c>
      <c r="L237">
        <v>4</v>
      </c>
      <c r="M237">
        <v>4</v>
      </c>
    </row>
    <row r="238" spans="1:16" x14ac:dyDescent="0.2">
      <c r="A238" s="2">
        <v>2</v>
      </c>
      <c r="B238" s="2" t="s">
        <v>29</v>
      </c>
      <c r="C238" t="s">
        <v>73</v>
      </c>
      <c r="D238" s="2">
        <v>64</v>
      </c>
      <c r="E238" s="2">
        <v>0.97</v>
      </c>
      <c r="F238" s="2" t="s">
        <v>37</v>
      </c>
      <c r="G238" s="2" t="s">
        <v>51</v>
      </c>
      <c r="H238" s="2">
        <v>4</v>
      </c>
      <c r="I238">
        <f t="shared" si="4"/>
        <v>4</v>
      </c>
      <c r="J238">
        <v>4</v>
      </c>
      <c r="L238">
        <v>4</v>
      </c>
      <c r="M238">
        <v>4</v>
      </c>
    </row>
    <row r="239" spans="1:16" x14ac:dyDescent="0.2">
      <c r="A239" s="2">
        <v>3</v>
      </c>
      <c r="B239" s="2" t="s">
        <v>29</v>
      </c>
      <c r="C239" t="s">
        <v>73</v>
      </c>
      <c r="D239" s="2">
        <v>134</v>
      </c>
      <c r="E239" s="2">
        <v>2.6</v>
      </c>
      <c r="F239" s="2" t="s">
        <v>37</v>
      </c>
      <c r="G239" s="2" t="s">
        <v>52</v>
      </c>
      <c r="H239" s="2">
        <v>4</v>
      </c>
      <c r="I239">
        <f t="shared" si="4"/>
        <v>4</v>
      </c>
      <c r="J239">
        <v>4</v>
      </c>
      <c r="L239">
        <v>4</v>
      </c>
      <c r="M239">
        <v>4</v>
      </c>
    </row>
    <row r="240" spans="1:16" x14ac:dyDescent="0.2">
      <c r="A240" s="2">
        <v>4</v>
      </c>
      <c r="B240" s="2" t="s">
        <v>29</v>
      </c>
      <c r="C240" t="s">
        <v>73</v>
      </c>
      <c r="D240" s="2">
        <v>60</v>
      </c>
      <c r="E240" s="2">
        <v>0.97</v>
      </c>
      <c r="F240" s="2" t="s">
        <v>37</v>
      </c>
      <c r="G240" s="2" t="s">
        <v>53</v>
      </c>
      <c r="H240" s="2">
        <v>1</v>
      </c>
      <c r="I240">
        <f t="shared" si="4"/>
        <v>1</v>
      </c>
      <c r="J240">
        <v>1</v>
      </c>
      <c r="L240">
        <v>1</v>
      </c>
      <c r="M240">
        <v>1</v>
      </c>
    </row>
    <row r="241" spans="1:16" x14ac:dyDescent="0.2">
      <c r="A241" s="2">
        <v>5</v>
      </c>
      <c r="B241" s="2" t="s">
        <v>29</v>
      </c>
      <c r="C241" t="s">
        <v>73</v>
      </c>
      <c r="D241" s="2">
        <v>62</v>
      </c>
      <c r="E241" s="2">
        <v>0.86</v>
      </c>
      <c r="F241" s="2" t="s">
        <v>37</v>
      </c>
      <c r="G241" s="2" t="s">
        <v>54</v>
      </c>
      <c r="H241" s="2">
        <v>3.6666666666666665</v>
      </c>
      <c r="I241">
        <f t="shared" si="4"/>
        <v>3.6666666666666665</v>
      </c>
      <c r="J241">
        <v>4</v>
      </c>
      <c r="L241">
        <v>4</v>
      </c>
      <c r="M241">
        <v>3</v>
      </c>
    </row>
    <row r="242" spans="1:16" x14ac:dyDescent="0.2">
      <c r="A242" s="2">
        <v>1</v>
      </c>
      <c r="B242" s="2" t="s">
        <v>29</v>
      </c>
      <c r="C242" t="s">
        <v>73</v>
      </c>
      <c r="D242" s="2">
        <v>115</v>
      </c>
      <c r="E242" s="2">
        <v>2.11</v>
      </c>
      <c r="F242" s="2" t="s">
        <v>38</v>
      </c>
      <c r="G242" s="2" t="s">
        <v>55</v>
      </c>
      <c r="H242" s="2">
        <v>4</v>
      </c>
      <c r="I242">
        <f t="shared" si="4"/>
        <v>4</v>
      </c>
      <c r="J242">
        <v>4</v>
      </c>
      <c r="L242">
        <v>4</v>
      </c>
      <c r="M242">
        <v>4</v>
      </c>
      <c r="P242">
        <v>4</v>
      </c>
    </row>
    <row r="243" spans="1:16" x14ac:dyDescent="0.2">
      <c r="A243" s="2">
        <v>2</v>
      </c>
      <c r="B243" s="2" t="s">
        <v>29</v>
      </c>
      <c r="C243" t="s">
        <v>73</v>
      </c>
      <c r="D243" s="2">
        <v>152</v>
      </c>
      <c r="E243" s="2">
        <v>2.77</v>
      </c>
      <c r="F243" s="2" t="s">
        <v>38</v>
      </c>
      <c r="G243" s="2" t="s">
        <v>56</v>
      </c>
      <c r="H243" s="2">
        <v>4</v>
      </c>
      <c r="I243">
        <f t="shared" si="4"/>
        <v>4</v>
      </c>
      <c r="J243">
        <v>4</v>
      </c>
      <c r="L243">
        <v>4</v>
      </c>
      <c r="M243">
        <v>4</v>
      </c>
      <c r="P243">
        <v>4</v>
      </c>
    </row>
    <row r="244" spans="1:16" x14ac:dyDescent="0.2">
      <c r="A244" s="2">
        <v>3</v>
      </c>
      <c r="B244" s="2" t="s">
        <v>29</v>
      </c>
      <c r="C244" t="s">
        <v>73</v>
      </c>
      <c r="D244" s="2">
        <v>140</v>
      </c>
      <c r="E244" s="2">
        <v>2.72</v>
      </c>
      <c r="F244" s="2" t="s">
        <v>38</v>
      </c>
      <c r="G244" s="2" t="s">
        <v>57</v>
      </c>
      <c r="H244" s="2">
        <v>3.25</v>
      </c>
      <c r="I244">
        <f t="shared" si="4"/>
        <v>3.25</v>
      </c>
      <c r="J244">
        <v>3</v>
      </c>
      <c r="L244">
        <v>3</v>
      </c>
      <c r="M244">
        <v>3</v>
      </c>
      <c r="P244">
        <v>4</v>
      </c>
    </row>
    <row r="245" spans="1:16" x14ac:dyDescent="0.2">
      <c r="A245" s="2">
        <v>4</v>
      </c>
      <c r="B245" s="2" t="s">
        <v>29</v>
      </c>
      <c r="C245" t="s">
        <v>73</v>
      </c>
      <c r="D245" s="2">
        <v>94</v>
      </c>
      <c r="E245" s="2">
        <v>1.77</v>
      </c>
      <c r="F245" s="2" t="s">
        <v>38</v>
      </c>
      <c r="G245" s="2" t="s">
        <v>58</v>
      </c>
      <c r="H245" s="2">
        <v>3</v>
      </c>
      <c r="I245">
        <f t="shared" si="4"/>
        <v>3</v>
      </c>
      <c r="J245">
        <v>3</v>
      </c>
      <c r="L245">
        <v>3</v>
      </c>
      <c r="M245">
        <v>3</v>
      </c>
      <c r="P245">
        <v>3</v>
      </c>
    </row>
    <row r="246" spans="1:16" x14ac:dyDescent="0.2">
      <c r="A246" s="2">
        <v>5</v>
      </c>
      <c r="B246" s="2" t="s">
        <v>29</v>
      </c>
      <c r="C246" t="s">
        <v>73</v>
      </c>
      <c r="D246" s="2">
        <v>107</v>
      </c>
      <c r="E246" s="2">
        <v>1.82</v>
      </c>
      <c r="F246" s="2" t="s">
        <v>38</v>
      </c>
      <c r="G246" s="2" t="s">
        <v>59</v>
      </c>
      <c r="H246" s="2">
        <v>3.75</v>
      </c>
      <c r="I246">
        <f t="shared" si="4"/>
        <v>3.75</v>
      </c>
      <c r="J246">
        <v>4</v>
      </c>
      <c r="L246">
        <v>4</v>
      </c>
      <c r="M246">
        <v>4</v>
      </c>
      <c r="P246">
        <v>3</v>
      </c>
    </row>
    <row r="247" spans="1:16" x14ac:dyDescent="0.2">
      <c r="A247" s="2">
        <v>1</v>
      </c>
      <c r="B247" s="2" t="s">
        <v>29</v>
      </c>
      <c r="C247" t="s">
        <v>73</v>
      </c>
      <c r="D247" s="2">
        <v>90</v>
      </c>
      <c r="E247" s="2">
        <v>1.84</v>
      </c>
      <c r="F247" s="2" t="s">
        <v>39</v>
      </c>
      <c r="G247" s="2" t="s">
        <v>60</v>
      </c>
      <c r="H247" s="2">
        <v>3.25</v>
      </c>
      <c r="I247">
        <f t="shared" si="4"/>
        <v>3.25</v>
      </c>
      <c r="J247">
        <v>3</v>
      </c>
      <c r="L247">
        <v>3</v>
      </c>
      <c r="M247">
        <v>3</v>
      </c>
      <c r="P247">
        <v>4</v>
      </c>
    </row>
    <row r="248" spans="1:16" x14ac:dyDescent="0.2">
      <c r="A248" s="2">
        <v>2</v>
      </c>
      <c r="B248" s="2" t="s">
        <v>29</v>
      </c>
      <c r="C248" t="s">
        <v>73</v>
      </c>
      <c r="D248" s="2">
        <v>126</v>
      </c>
      <c r="E248" s="2">
        <v>2.59</v>
      </c>
      <c r="F248" s="2" t="s">
        <v>39</v>
      </c>
      <c r="G248" s="2" t="s">
        <v>61</v>
      </c>
      <c r="H248" s="2">
        <v>3.25</v>
      </c>
      <c r="I248">
        <f t="shared" si="4"/>
        <v>3.25</v>
      </c>
      <c r="J248">
        <v>3</v>
      </c>
      <c r="L248">
        <v>3</v>
      </c>
      <c r="M248">
        <v>3</v>
      </c>
      <c r="P248">
        <v>4</v>
      </c>
    </row>
    <row r="249" spans="1:16" x14ac:dyDescent="0.2">
      <c r="A249" s="2">
        <v>3</v>
      </c>
      <c r="B249" s="2" t="s">
        <v>29</v>
      </c>
      <c r="C249" t="s">
        <v>73</v>
      </c>
      <c r="D249" s="2">
        <v>117</v>
      </c>
      <c r="E249" s="2">
        <v>2.59</v>
      </c>
      <c r="F249" s="2" t="s">
        <v>39</v>
      </c>
      <c r="G249" s="2" t="s">
        <v>62</v>
      </c>
      <c r="H249" s="2">
        <v>3.5</v>
      </c>
      <c r="I249">
        <f t="shared" si="4"/>
        <v>3.5</v>
      </c>
      <c r="J249">
        <v>3</v>
      </c>
      <c r="L249">
        <v>4</v>
      </c>
      <c r="M249">
        <v>4</v>
      </c>
      <c r="P249">
        <v>3</v>
      </c>
    </row>
    <row r="250" spans="1:16" x14ac:dyDescent="0.2">
      <c r="A250" s="2">
        <v>4</v>
      </c>
      <c r="B250" s="2" t="s">
        <v>29</v>
      </c>
      <c r="C250" t="s">
        <v>73</v>
      </c>
      <c r="D250" s="2">
        <v>98</v>
      </c>
      <c r="E250" s="2">
        <v>2</v>
      </c>
      <c r="F250" s="2" t="s">
        <v>39</v>
      </c>
      <c r="G250" s="2" t="s">
        <v>63</v>
      </c>
      <c r="H250" s="2">
        <v>3.25</v>
      </c>
      <c r="I250">
        <f t="shared" si="4"/>
        <v>3.25</v>
      </c>
      <c r="J250">
        <v>3</v>
      </c>
      <c r="L250">
        <v>3</v>
      </c>
      <c r="M250">
        <v>3</v>
      </c>
      <c r="P250">
        <v>4</v>
      </c>
    </row>
    <row r="251" spans="1:16" x14ac:dyDescent="0.2">
      <c r="A251" s="2">
        <v>5</v>
      </c>
      <c r="B251" s="2" t="s">
        <v>29</v>
      </c>
      <c r="C251" t="s">
        <v>73</v>
      </c>
      <c r="D251" s="2">
        <v>92</v>
      </c>
      <c r="E251" s="2">
        <v>1.94</v>
      </c>
      <c r="F251" s="2" t="s">
        <v>39</v>
      </c>
      <c r="G251" s="2" t="s">
        <v>64</v>
      </c>
      <c r="H251" s="2">
        <v>2.75</v>
      </c>
      <c r="I251">
        <f t="shared" si="4"/>
        <v>2.75</v>
      </c>
      <c r="J251">
        <v>3</v>
      </c>
      <c r="L251">
        <v>3</v>
      </c>
      <c r="M251">
        <v>3</v>
      </c>
      <c r="P251">
        <v>2</v>
      </c>
    </row>
    <row r="252" spans="1:16" x14ac:dyDescent="0.2">
      <c r="A252" s="2">
        <v>1</v>
      </c>
      <c r="B252" s="2" t="s">
        <v>30</v>
      </c>
      <c r="C252" t="s">
        <v>73</v>
      </c>
      <c r="D252" s="2">
        <v>65</v>
      </c>
      <c r="E252" s="2">
        <v>0.25</v>
      </c>
      <c r="F252" s="2" t="s">
        <v>35</v>
      </c>
      <c r="G252" s="2" t="s">
        <v>40</v>
      </c>
      <c r="H252" s="2">
        <v>3.75</v>
      </c>
      <c r="I252">
        <f t="shared" si="4"/>
        <v>3.75</v>
      </c>
      <c r="J252">
        <v>3</v>
      </c>
      <c r="K252">
        <v>3</v>
      </c>
      <c r="L252">
        <v>4</v>
      </c>
      <c r="M252">
        <v>5</v>
      </c>
    </row>
    <row r="253" spans="1:16" x14ac:dyDescent="0.2">
      <c r="A253" s="2">
        <v>2</v>
      </c>
      <c r="B253" s="2" t="s">
        <v>30</v>
      </c>
      <c r="C253" t="s">
        <v>73</v>
      </c>
      <c r="D253" s="2">
        <v>112</v>
      </c>
      <c r="E253" s="2">
        <v>1.48</v>
      </c>
      <c r="F253" s="2" t="s">
        <v>35</v>
      </c>
      <c r="G253" s="2" t="s">
        <v>41</v>
      </c>
      <c r="H253" s="2">
        <v>2.8333333333333335</v>
      </c>
      <c r="I253">
        <f t="shared" si="4"/>
        <v>2.8333333333333335</v>
      </c>
      <c r="J253">
        <v>4</v>
      </c>
      <c r="K253">
        <v>1</v>
      </c>
      <c r="L253">
        <v>4</v>
      </c>
      <c r="M253">
        <v>4</v>
      </c>
      <c r="N253">
        <v>3</v>
      </c>
      <c r="O253">
        <v>1</v>
      </c>
    </row>
    <row r="254" spans="1:16" x14ac:dyDescent="0.2">
      <c r="A254" s="2">
        <v>3</v>
      </c>
      <c r="B254" s="2" t="s">
        <v>30</v>
      </c>
      <c r="C254" t="s">
        <v>73</v>
      </c>
      <c r="D254" s="2">
        <v>85</v>
      </c>
      <c r="E254" s="2">
        <v>0.31</v>
      </c>
      <c r="F254" s="2" t="s">
        <v>35</v>
      </c>
      <c r="G254" s="2" t="s">
        <v>42</v>
      </c>
      <c r="H254" s="2">
        <v>4.25</v>
      </c>
      <c r="I254">
        <f t="shared" si="4"/>
        <v>4.25</v>
      </c>
      <c r="J254">
        <v>4</v>
      </c>
      <c r="K254">
        <v>4</v>
      </c>
      <c r="L254">
        <v>4</v>
      </c>
      <c r="M254">
        <v>5</v>
      </c>
    </row>
    <row r="255" spans="1:16" x14ac:dyDescent="0.2">
      <c r="A255" s="2">
        <v>4</v>
      </c>
      <c r="B255" s="2" t="s">
        <v>30</v>
      </c>
      <c r="C255" t="s">
        <v>73</v>
      </c>
      <c r="D255" s="2">
        <v>55</v>
      </c>
      <c r="E255" s="2">
        <v>0.2</v>
      </c>
      <c r="F255" s="2" t="s">
        <v>35</v>
      </c>
      <c r="G255" s="2" t="s">
        <v>43</v>
      </c>
      <c r="H255" s="2">
        <v>4.5</v>
      </c>
      <c r="I255">
        <f t="shared" si="4"/>
        <v>4.5</v>
      </c>
      <c r="J255">
        <v>5</v>
      </c>
      <c r="K255">
        <v>3</v>
      </c>
      <c r="L255">
        <v>5</v>
      </c>
      <c r="M255">
        <v>5</v>
      </c>
    </row>
    <row r="256" spans="1:16" x14ac:dyDescent="0.2">
      <c r="A256" s="2">
        <v>5</v>
      </c>
      <c r="B256" s="2" t="s">
        <v>30</v>
      </c>
      <c r="C256" t="s">
        <v>73</v>
      </c>
      <c r="D256" s="2">
        <v>63</v>
      </c>
      <c r="E256" s="2">
        <v>0.3</v>
      </c>
      <c r="F256" s="2" t="s">
        <v>35</v>
      </c>
      <c r="G256" s="2" t="s">
        <v>44</v>
      </c>
      <c r="H256" s="2">
        <v>4.5</v>
      </c>
      <c r="I256">
        <f t="shared" si="4"/>
        <v>4.5</v>
      </c>
      <c r="J256">
        <v>5</v>
      </c>
      <c r="K256">
        <v>3</v>
      </c>
      <c r="L256">
        <v>5</v>
      </c>
      <c r="M256">
        <v>5</v>
      </c>
    </row>
    <row r="257" spans="1:16" x14ac:dyDescent="0.2">
      <c r="A257" s="2">
        <v>1</v>
      </c>
      <c r="B257" s="2" t="s">
        <v>30</v>
      </c>
      <c r="C257" t="s">
        <v>73</v>
      </c>
      <c r="D257" s="2">
        <v>139</v>
      </c>
      <c r="E257" s="2">
        <v>2.48</v>
      </c>
      <c r="F257" s="2" t="s">
        <v>36</v>
      </c>
      <c r="G257" s="2" t="s">
        <v>45</v>
      </c>
      <c r="H257" s="2">
        <v>3.3333333333333335</v>
      </c>
      <c r="I257">
        <f t="shared" si="4"/>
        <v>3.3333333333333335</v>
      </c>
      <c r="J257">
        <v>4</v>
      </c>
      <c r="K257">
        <v>4</v>
      </c>
      <c r="L257">
        <v>4</v>
      </c>
      <c r="M257">
        <v>4</v>
      </c>
      <c r="N257">
        <v>2</v>
      </c>
      <c r="O257">
        <v>2</v>
      </c>
    </row>
    <row r="258" spans="1:16" x14ac:dyDescent="0.2">
      <c r="A258" s="2">
        <v>2</v>
      </c>
      <c r="B258" s="2" t="s">
        <v>30</v>
      </c>
      <c r="C258" t="s">
        <v>73</v>
      </c>
      <c r="D258" s="2">
        <v>165</v>
      </c>
      <c r="E258" s="2">
        <v>2.72</v>
      </c>
      <c r="F258" s="2" t="s">
        <v>36</v>
      </c>
      <c r="G258" s="2" t="s">
        <v>46</v>
      </c>
      <c r="H258" s="2">
        <v>3</v>
      </c>
      <c r="I258">
        <f t="shared" si="4"/>
        <v>3</v>
      </c>
      <c r="J258">
        <v>3</v>
      </c>
      <c r="K258">
        <v>3</v>
      </c>
      <c r="L258">
        <v>3</v>
      </c>
      <c r="M258">
        <v>3</v>
      </c>
      <c r="N258">
        <v>3</v>
      </c>
      <c r="O258">
        <v>3</v>
      </c>
    </row>
    <row r="259" spans="1:16" x14ac:dyDescent="0.2">
      <c r="A259" s="2">
        <v>3</v>
      </c>
      <c r="B259" s="2" t="s">
        <v>30</v>
      </c>
      <c r="C259" t="s">
        <v>73</v>
      </c>
      <c r="D259" s="2">
        <v>149</v>
      </c>
      <c r="E259" s="2">
        <v>2.69</v>
      </c>
      <c r="F259" s="2" t="s">
        <v>36</v>
      </c>
      <c r="G259" s="2" t="s">
        <v>47</v>
      </c>
      <c r="H259" s="2">
        <v>3.5</v>
      </c>
      <c r="I259">
        <f t="shared" si="4"/>
        <v>3.5</v>
      </c>
      <c r="J259">
        <v>4</v>
      </c>
      <c r="K259">
        <v>3</v>
      </c>
      <c r="L259">
        <v>4</v>
      </c>
      <c r="M259">
        <v>4</v>
      </c>
      <c r="N259">
        <v>3</v>
      </c>
      <c r="O259">
        <v>3</v>
      </c>
    </row>
    <row r="260" spans="1:16" x14ac:dyDescent="0.2">
      <c r="A260" s="2">
        <v>4</v>
      </c>
      <c r="B260" s="2" t="s">
        <v>30</v>
      </c>
      <c r="C260" t="s">
        <v>73</v>
      </c>
      <c r="D260" s="2">
        <v>159</v>
      </c>
      <c r="E260" s="2">
        <v>2.72</v>
      </c>
      <c r="F260" s="2" t="s">
        <v>36</v>
      </c>
      <c r="G260" s="2" t="s">
        <v>48</v>
      </c>
      <c r="H260" s="2">
        <v>3.6666666666666665</v>
      </c>
      <c r="I260">
        <f t="shared" si="4"/>
        <v>3.6666666666666665</v>
      </c>
      <c r="J260">
        <v>4</v>
      </c>
      <c r="K260">
        <v>4</v>
      </c>
      <c r="L260">
        <v>4</v>
      </c>
      <c r="M260">
        <v>4</v>
      </c>
      <c r="N260">
        <v>3</v>
      </c>
      <c r="O260">
        <v>3</v>
      </c>
    </row>
    <row r="261" spans="1:16" x14ac:dyDescent="0.2">
      <c r="A261" s="2">
        <v>5</v>
      </c>
      <c r="B261" s="2" t="s">
        <v>30</v>
      </c>
      <c r="C261" t="s">
        <v>73</v>
      </c>
      <c r="D261" s="2">
        <v>144</v>
      </c>
      <c r="E261" s="2">
        <v>2.72</v>
      </c>
      <c r="F261" s="2" t="s">
        <v>36</v>
      </c>
      <c r="G261" s="2" t="s">
        <v>49</v>
      </c>
      <c r="H261" s="2">
        <v>3.6666666666666665</v>
      </c>
      <c r="I261">
        <f t="shared" si="4"/>
        <v>3.6666666666666665</v>
      </c>
      <c r="J261">
        <v>4</v>
      </c>
      <c r="K261">
        <v>4</v>
      </c>
      <c r="L261">
        <v>4</v>
      </c>
      <c r="M261">
        <v>4</v>
      </c>
      <c r="N261">
        <v>3</v>
      </c>
      <c r="O261">
        <v>3</v>
      </c>
    </row>
    <row r="262" spans="1:16" x14ac:dyDescent="0.2">
      <c r="A262" s="2">
        <v>1</v>
      </c>
      <c r="B262" s="2" t="s">
        <v>30</v>
      </c>
      <c r="C262" t="s">
        <v>73</v>
      </c>
      <c r="D262" s="2">
        <v>125</v>
      </c>
      <c r="E262" s="2">
        <v>2.6</v>
      </c>
      <c r="F262" s="2" t="s">
        <v>37</v>
      </c>
      <c r="G262" s="2" t="s">
        <v>50</v>
      </c>
      <c r="H262" s="2">
        <v>2.8</v>
      </c>
      <c r="I262">
        <f t="shared" si="4"/>
        <v>2.8</v>
      </c>
      <c r="J262">
        <v>2</v>
      </c>
      <c r="L262">
        <v>3</v>
      </c>
      <c r="M262">
        <v>3</v>
      </c>
      <c r="N262">
        <v>3</v>
      </c>
      <c r="O262">
        <v>3</v>
      </c>
    </row>
    <row r="263" spans="1:16" x14ac:dyDescent="0.2">
      <c r="A263" s="2">
        <v>2</v>
      </c>
      <c r="B263" s="2" t="s">
        <v>30</v>
      </c>
      <c r="C263" t="s">
        <v>73</v>
      </c>
      <c r="D263" s="2">
        <v>121</v>
      </c>
      <c r="E263" s="2">
        <v>2.4500000000000002</v>
      </c>
      <c r="F263" s="2" t="s">
        <v>37</v>
      </c>
      <c r="G263" s="2" t="s">
        <v>51</v>
      </c>
      <c r="H263" s="2">
        <v>2.6666666666666665</v>
      </c>
      <c r="I263">
        <f t="shared" si="4"/>
        <v>2.6666666666666665</v>
      </c>
      <c r="J263">
        <v>3</v>
      </c>
      <c r="L263">
        <v>2</v>
      </c>
      <c r="M263">
        <v>3</v>
      </c>
    </row>
    <row r="264" spans="1:16" x14ac:dyDescent="0.2">
      <c r="A264" s="2">
        <v>3</v>
      </c>
      <c r="B264" s="2" t="s">
        <v>30</v>
      </c>
      <c r="C264" t="s">
        <v>73</v>
      </c>
      <c r="D264" s="2">
        <v>130</v>
      </c>
      <c r="E264" s="2">
        <v>2.52</v>
      </c>
      <c r="F264" s="2" t="s">
        <v>37</v>
      </c>
      <c r="G264" s="2" t="s">
        <v>52</v>
      </c>
      <c r="H264" s="2">
        <v>4</v>
      </c>
      <c r="I264">
        <f t="shared" si="4"/>
        <v>4</v>
      </c>
      <c r="J264">
        <v>4</v>
      </c>
      <c r="L264">
        <v>4</v>
      </c>
      <c r="M264">
        <v>4</v>
      </c>
    </row>
    <row r="265" spans="1:16" x14ac:dyDescent="0.2">
      <c r="A265" s="2">
        <v>4</v>
      </c>
      <c r="B265" s="2" t="s">
        <v>30</v>
      </c>
      <c r="C265" t="s">
        <v>73</v>
      </c>
      <c r="D265" s="2">
        <v>56</v>
      </c>
      <c r="E265" s="2">
        <v>0.86</v>
      </c>
      <c r="F265" s="2" t="s">
        <v>37</v>
      </c>
      <c r="G265" s="2" t="s">
        <v>53</v>
      </c>
      <c r="H265" s="2">
        <v>2.6666666666666665</v>
      </c>
      <c r="I265">
        <f t="shared" si="4"/>
        <v>2.6666666666666665</v>
      </c>
      <c r="J265">
        <v>4</v>
      </c>
      <c r="L265">
        <v>2</v>
      </c>
      <c r="M265">
        <v>2</v>
      </c>
    </row>
    <row r="266" spans="1:16" x14ac:dyDescent="0.2">
      <c r="A266" s="2">
        <v>5</v>
      </c>
      <c r="B266" s="2" t="s">
        <v>30</v>
      </c>
      <c r="C266" t="s">
        <v>73</v>
      </c>
      <c r="D266" s="2">
        <v>130</v>
      </c>
      <c r="E266" s="2">
        <v>2.6</v>
      </c>
      <c r="F266" s="2" t="s">
        <v>37</v>
      </c>
      <c r="G266" s="2" t="s">
        <v>54</v>
      </c>
      <c r="H266" s="2">
        <v>2.3333333333333335</v>
      </c>
      <c r="I266">
        <f t="shared" si="4"/>
        <v>2.3333333333333335</v>
      </c>
      <c r="J266">
        <v>2</v>
      </c>
      <c r="L266">
        <v>3</v>
      </c>
      <c r="M266">
        <v>2</v>
      </c>
    </row>
    <row r="267" spans="1:16" x14ac:dyDescent="0.2">
      <c r="A267" s="2">
        <v>1</v>
      </c>
      <c r="B267" s="2" t="s">
        <v>30</v>
      </c>
      <c r="C267" t="s">
        <v>73</v>
      </c>
      <c r="D267" s="2">
        <v>138</v>
      </c>
      <c r="E267" s="2">
        <v>2.72</v>
      </c>
      <c r="F267" s="2" t="s">
        <v>38</v>
      </c>
      <c r="G267" s="2" t="s">
        <v>55</v>
      </c>
      <c r="H267" s="2">
        <v>4</v>
      </c>
      <c r="I267">
        <f t="shared" si="4"/>
        <v>4</v>
      </c>
      <c r="J267">
        <v>4</v>
      </c>
      <c r="L267">
        <v>4</v>
      </c>
      <c r="M267">
        <v>4</v>
      </c>
      <c r="P267">
        <v>4</v>
      </c>
    </row>
    <row r="268" spans="1:16" x14ac:dyDescent="0.2">
      <c r="A268" s="2">
        <v>2</v>
      </c>
      <c r="B268" s="2" t="s">
        <v>30</v>
      </c>
      <c r="C268" t="s">
        <v>73</v>
      </c>
      <c r="D268" s="2">
        <v>89</v>
      </c>
      <c r="E268" s="2">
        <v>1.0900000000000001</v>
      </c>
      <c r="F268" s="2" t="s">
        <v>38</v>
      </c>
      <c r="G268" s="2" t="s">
        <v>56</v>
      </c>
      <c r="H268" s="2">
        <v>4</v>
      </c>
      <c r="I268">
        <f t="shared" ref="I268:I331" si="5">AVERAGE(J268:P268)</f>
        <v>4</v>
      </c>
      <c r="J268">
        <v>4</v>
      </c>
      <c r="L268">
        <v>4</v>
      </c>
      <c r="M268">
        <v>4</v>
      </c>
      <c r="P268">
        <v>4</v>
      </c>
    </row>
    <row r="269" spans="1:16" x14ac:dyDescent="0.2">
      <c r="A269" s="2">
        <v>3</v>
      </c>
      <c r="B269" s="2" t="s">
        <v>30</v>
      </c>
      <c r="C269" t="s">
        <v>73</v>
      </c>
      <c r="D269" s="2">
        <v>109</v>
      </c>
      <c r="E269" s="2">
        <v>1.96</v>
      </c>
      <c r="F269" s="2" t="s">
        <v>38</v>
      </c>
      <c r="G269" s="2" t="s">
        <v>57</v>
      </c>
      <c r="H269" s="2">
        <v>3.25</v>
      </c>
      <c r="I269">
        <f t="shared" si="5"/>
        <v>3.25</v>
      </c>
      <c r="J269">
        <v>3</v>
      </c>
      <c r="L269">
        <v>3</v>
      </c>
      <c r="M269">
        <v>3</v>
      </c>
      <c r="P269">
        <v>4</v>
      </c>
    </row>
    <row r="270" spans="1:16" x14ac:dyDescent="0.2">
      <c r="A270" s="2">
        <v>4</v>
      </c>
      <c r="B270" s="2" t="s">
        <v>30</v>
      </c>
      <c r="C270" t="s">
        <v>73</v>
      </c>
      <c r="D270" s="2">
        <v>68</v>
      </c>
      <c r="E270" s="2">
        <v>1.1200000000000001</v>
      </c>
      <c r="F270" s="2" t="s">
        <v>38</v>
      </c>
      <c r="G270" s="2" t="s">
        <v>58</v>
      </c>
      <c r="H270" s="2">
        <v>3</v>
      </c>
      <c r="I270">
        <f t="shared" si="5"/>
        <v>3</v>
      </c>
      <c r="J270">
        <v>3</v>
      </c>
      <c r="L270">
        <v>3</v>
      </c>
      <c r="M270">
        <v>3</v>
      </c>
      <c r="P270">
        <v>3</v>
      </c>
    </row>
    <row r="271" spans="1:16" x14ac:dyDescent="0.2">
      <c r="A271" s="2">
        <v>5</v>
      </c>
      <c r="B271" s="2" t="s">
        <v>30</v>
      </c>
      <c r="C271" t="s">
        <v>73</v>
      </c>
      <c r="D271" s="2">
        <v>70</v>
      </c>
      <c r="E271" s="2">
        <v>0.88</v>
      </c>
      <c r="F271" s="2" t="s">
        <v>38</v>
      </c>
      <c r="G271" s="2" t="s">
        <v>59</v>
      </c>
      <c r="H271" s="2">
        <v>3.75</v>
      </c>
      <c r="I271">
        <f t="shared" si="5"/>
        <v>3.75</v>
      </c>
      <c r="J271">
        <v>4</v>
      </c>
      <c r="L271">
        <v>4</v>
      </c>
      <c r="M271">
        <v>4</v>
      </c>
      <c r="P271">
        <v>3</v>
      </c>
    </row>
    <row r="272" spans="1:16" x14ac:dyDescent="0.2">
      <c r="A272" s="2">
        <v>1</v>
      </c>
      <c r="B272" s="2" t="s">
        <v>30</v>
      </c>
      <c r="C272" t="s">
        <v>73</v>
      </c>
      <c r="D272" s="2">
        <v>76</v>
      </c>
      <c r="E272" s="2">
        <v>1.48</v>
      </c>
      <c r="F272" s="2" t="s">
        <v>39</v>
      </c>
      <c r="G272" s="2" t="s">
        <v>60</v>
      </c>
      <c r="H272" s="2">
        <v>3</v>
      </c>
      <c r="I272">
        <f t="shared" si="5"/>
        <v>3</v>
      </c>
      <c r="J272">
        <v>3</v>
      </c>
      <c r="L272">
        <v>2</v>
      </c>
      <c r="M272">
        <v>3</v>
      </c>
      <c r="P272">
        <v>4</v>
      </c>
    </row>
    <row r="273" spans="1:16" x14ac:dyDescent="0.2">
      <c r="A273" s="2">
        <v>2</v>
      </c>
      <c r="B273" s="2" t="s">
        <v>30</v>
      </c>
      <c r="C273" t="s">
        <v>73</v>
      </c>
      <c r="D273" s="2">
        <v>113</v>
      </c>
      <c r="E273" s="2">
        <v>2.2599999999999998</v>
      </c>
      <c r="F273" s="2" t="s">
        <v>39</v>
      </c>
      <c r="G273" s="2" t="s">
        <v>61</v>
      </c>
      <c r="H273" s="2">
        <v>3.75</v>
      </c>
      <c r="I273">
        <f t="shared" si="5"/>
        <v>3.75</v>
      </c>
      <c r="J273">
        <v>3</v>
      </c>
      <c r="L273">
        <v>4</v>
      </c>
      <c r="M273">
        <v>4</v>
      </c>
      <c r="P273">
        <v>4</v>
      </c>
    </row>
    <row r="274" spans="1:16" x14ac:dyDescent="0.2">
      <c r="A274" s="2">
        <v>3</v>
      </c>
      <c r="B274" s="2" t="s">
        <v>30</v>
      </c>
      <c r="C274" t="s">
        <v>73</v>
      </c>
      <c r="D274" s="2">
        <v>117</v>
      </c>
      <c r="E274" s="2">
        <v>2.59</v>
      </c>
      <c r="F274" s="2" t="s">
        <v>39</v>
      </c>
      <c r="G274" s="2" t="s">
        <v>62</v>
      </c>
      <c r="H274" s="2">
        <v>3.5</v>
      </c>
      <c r="I274">
        <f t="shared" si="5"/>
        <v>3.5</v>
      </c>
      <c r="J274">
        <v>3</v>
      </c>
      <c r="L274">
        <v>4</v>
      </c>
      <c r="M274">
        <v>4</v>
      </c>
      <c r="P274">
        <v>3</v>
      </c>
    </row>
    <row r="275" spans="1:16" x14ac:dyDescent="0.2">
      <c r="A275" s="2">
        <v>4</v>
      </c>
      <c r="B275" s="2" t="s">
        <v>30</v>
      </c>
      <c r="C275" t="s">
        <v>73</v>
      </c>
      <c r="D275" s="2">
        <v>121</v>
      </c>
      <c r="E275" s="2">
        <v>2.59</v>
      </c>
      <c r="F275" s="2" t="s">
        <v>39</v>
      </c>
      <c r="G275" s="2" t="s">
        <v>63</v>
      </c>
      <c r="H275" s="2">
        <v>3.25</v>
      </c>
      <c r="I275">
        <f t="shared" si="5"/>
        <v>3.25</v>
      </c>
      <c r="J275">
        <v>3</v>
      </c>
      <c r="L275">
        <v>3</v>
      </c>
      <c r="M275">
        <v>3</v>
      </c>
      <c r="P275">
        <v>4</v>
      </c>
    </row>
    <row r="276" spans="1:16" x14ac:dyDescent="0.2">
      <c r="A276" s="2">
        <v>5</v>
      </c>
      <c r="B276" s="2" t="s">
        <v>30</v>
      </c>
      <c r="C276" t="s">
        <v>73</v>
      </c>
      <c r="D276" s="2">
        <v>32</v>
      </c>
      <c r="E276" s="2">
        <v>0.39</v>
      </c>
      <c r="F276" s="2" t="s">
        <v>39</v>
      </c>
      <c r="G276" s="2" t="s">
        <v>64</v>
      </c>
      <c r="H276" s="2">
        <v>3</v>
      </c>
      <c r="I276">
        <f t="shared" si="5"/>
        <v>3</v>
      </c>
      <c r="J276">
        <v>3</v>
      </c>
      <c r="L276">
        <v>3</v>
      </c>
      <c r="M276">
        <v>3</v>
      </c>
      <c r="P276">
        <v>3</v>
      </c>
    </row>
    <row r="277" spans="1:16" x14ac:dyDescent="0.2">
      <c r="A277" s="2">
        <v>1</v>
      </c>
      <c r="B277" s="2" t="s">
        <v>31</v>
      </c>
      <c r="C277" t="s">
        <v>73</v>
      </c>
      <c r="D277" s="2">
        <v>78</v>
      </c>
      <c r="E277" s="2">
        <v>1.2</v>
      </c>
      <c r="F277" s="2" t="s">
        <v>35</v>
      </c>
      <c r="G277" s="2" t="s">
        <v>40</v>
      </c>
      <c r="H277" s="2">
        <v>2.5</v>
      </c>
      <c r="I277">
        <f t="shared" si="5"/>
        <v>2.5</v>
      </c>
      <c r="J277">
        <v>2</v>
      </c>
      <c r="K277">
        <v>2</v>
      </c>
      <c r="L277">
        <v>3</v>
      </c>
      <c r="M277">
        <v>3</v>
      </c>
    </row>
    <row r="278" spans="1:16" x14ac:dyDescent="0.2">
      <c r="A278" s="2">
        <v>2</v>
      </c>
      <c r="B278" s="2" t="s">
        <v>31</v>
      </c>
      <c r="C278" t="s">
        <v>73</v>
      </c>
      <c r="D278" s="2">
        <v>124</v>
      </c>
      <c r="E278" s="2">
        <v>2.66</v>
      </c>
      <c r="F278" s="2" t="s">
        <v>35</v>
      </c>
      <c r="G278" s="2" t="s">
        <v>41</v>
      </c>
      <c r="H278" s="2">
        <v>3.3333333333333335</v>
      </c>
      <c r="I278">
        <f t="shared" si="5"/>
        <v>3.3333333333333335</v>
      </c>
      <c r="J278">
        <v>3</v>
      </c>
      <c r="K278">
        <v>3</v>
      </c>
      <c r="L278">
        <v>3</v>
      </c>
      <c r="M278">
        <v>3</v>
      </c>
      <c r="N278">
        <v>4</v>
      </c>
      <c r="O278">
        <v>4</v>
      </c>
    </row>
    <row r="279" spans="1:16" x14ac:dyDescent="0.2">
      <c r="A279" s="2">
        <v>3</v>
      </c>
      <c r="B279" s="2" t="s">
        <v>31</v>
      </c>
      <c r="C279" t="s">
        <v>73</v>
      </c>
      <c r="D279" s="2">
        <v>99</v>
      </c>
      <c r="E279" s="2">
        <v>1.18</v>
      </c>
      <c r="F279" s="2" t="s">
        <v>35</v>
      </c>
      <c r="G279" s="2" t="s">
        <v>42</v>
      </c>
      <c r="H279" s="2">
        <v>3.5</v>
      </c>
      <c r="I279">
        <f t="shared" si="5"/>
        <v>3.5</v>
      </c>
      <c r="J279">
        <v>3</v>
      </c>
      <c r="K279">
        <v>3</v>
      </c>
      <c r="L279">
        <v>4</v>
      </c>
      <c r="M279">
        <v>4</v>
      </c>
    </row>
    <row r="280" spans="1:16" x14ac:dyDescent="0.2">
      <c r="A280" s="2">
        <v>4</v>
      </c>
      <c r="B280" s="2" t="s">
        <v>31</v>
      </c>
      <c r="C280" t="s">
        <v>73</v>
      </c>
      <c r="D280" s="2">
        <v>67</v>
      </c>
      <c r="E280" s="2">
        <v>1.03</v>
      </c>
      <c r="F280" s="2" t="s">
        <v>35</v>
      </c>
      <c r="G280" s="2" t="s">
        <v>43</v>
      </c>
      <c r="H280" s="2">
        <v>2.3333333333333335</v>
      </c>
      <c r="I280">
        <f t="shared" si="5"/>
        <v>2.3333333333333335</v>
      </c>
      <c r="J280">
        <v>3</v>
      </c>
      <c r="K280">
        <v>3</v>
      </c>
      <c r="L280">
        <v>3</v>
      </c>
      <c r="M280">
        <v>3</v>
      </c>
      <c r="N280">
        <v>1</v>
      </c>
      <c r="O280">
        <v>1</v>
      </c>
    </row>
    <row r="281" spans="1:16" x14ac:dyDescent="0.2">
      <c r="A281" s="2">
        <v>5</v>
      </c>
      <c r="B281" s="2" t="s">
        <v>31</v>
      </c>
      <c r="C281" t="s">
        <v>73</v>
      </c>
      <c r="D281" s="2">
        <v>54</v>
      </c>
      <c r="E281" s="2">
        <v>0.47</v>
      </c>
      <c r="F281" s="2" t="s">
        <v>35</v>
      </c>
      <c r="G281" s="2" t="s">
        <v>44</v>
      </c>
      <c r="H281" s="2">
        <v>4.25</v>
      </c>
      <c r="I281">
        <f t="shared" si="5"/>
        <v>4.25</v>
      </c>
      <c r="J281">
        <v>5</v>
      </c>
      <c r="K281">
        <v>2</v>
      </c>
      <c r="L281">
        <v>5</v>
      </c>
      <c r="M281">
        <v>5</v>
      </c>
    </row>
    <row r="282" spans="1:16" x14ac:dyDescent="0.2">
      <c r="A282" s="2">
        <v>1</v>
      </c>
      <c r="B282" s="2" t="s">
        <v>31</v>
      </c>
      <c r="C282" t="s">
        <v>73</v>
      </c>
      <c r="D282" s="2">
        <v>83</v>
      </c>
      <c r="E282" s="2">
        <v>1.46</v>
      </c>
      <c r="F282" s="2" t="s">
        <v>36</v>
      </c>
      <c r="G282" s="2" t="s">
        <v>45</v>
      </c>
      <c r="H282" s="2">
        <v>4</v>
      </c>
      <c r="I282">
        <f t="shared" si="5"/>
        <v>4</v>
      </c>
      <c r="J282">
        <v>4</v>
      </c>
      <c r="K282">
        <v>4</v>
      </c>
      <c r="L282">
        <v>4</v>
      </c>
      <c r="M282">
        <v>4</v>
      </c>
    </row>
    <row r="283" spans="1:16" x14ac:dyDescent="0.2">
      <c r="A283" s="2">
        <v>2</v>
      </c>
      <c r="B283" s="2" t="s">
        <v>31</v>
      </c>
      <c r="C283" t="s">
        <v>73</v>
      </c>
      <c r="D283" s="2">
        <v>116</v>
      </c>
      <c r="E283" s="2">
        <v>2.2000000000000002</v>
      </c>
      <c r="F283" s="2" t="s">
        <v>36</v>
      </c>
      <c r="G283" s="2" t="s">
        <v>46</v>
      </c>
      <c r="H283" s="2">
        <v>3</v>
      </c>
      <c r="I283">
        <f t="shared" si="5"/>
        <v>3</v>
      </c>
      <c r="J283">
        <v>3</v>
      </c>
      <c r="K283">
        <v>3</v>
      </c>
      <c r="L283">
        <v>3</v>
      </c>
      <c r="M283">
        <v>3</v>
      </c>
      <c r="N283">
        <v>3</v>
      </c>
      <c r="O283">
        <v>3</v>
      </c>
    </row>
    <row r="284" spans="1:16" x14ac:dyDescent="0.2">
      <c r="A284" s="2">
        <v>3</v>
      </c>
      <c r="B284" s="2" t="s">
        <v>31</v>
      </c>
      <c r="C284" t="s">
        <v>73</v>
      </c>
      <c r="D284" s="2">
        <v>95</v>
      </c>
      <c r="E284" s="2">
        <v>1.85</v>
      </c>
      <c r="F284" s="2" t="s">
        <v>36</v>
      </c>
      <c r="G284" s="2" t="s">
        <v>47</v>
      </c>
      <c r="H284" s="2">
        <v>3.5</v>
      </c>
      <c r="I284">
        <f t="shared" si="5"/>
        <v>3.5</v>
      </c>
      <c r="J284">
        <v>4</v>
      </c>
      <c r="K284">
        <v>3</v>
      </c>
      <c r="L284">
        <v>4</v>
      </c>
      <c r="M284">
        <v>4</v>
      </c>
      <c r="N284">
        <v>3</v>
      </c>
      <c r="O284">
        <v>3</v>
      </c>
    </row>
    <row r="285" spans="1:16" x14ac:dyDescent="0.2">
      <c r="A285" s="2">
        <v>4</v>
      </c>
      <c r="B285" s="2" t="s">
        <v>31</v>
      </c>
      <c r="C285" t="s">
        <v>73</v>
      </c>
      <c r="D285" s="2">
        <v>109</v>
      </c>
      <c r="E285" s="2">
        <v>2.06</v>
      </c>
      <c r="F285" s="2" t="s">
        <v>36</v>
      </c>
      <c r="G285" s="2" t="s">
        <v>48</v>
      </c>
      <c r="H285" s="2">
        <v>3.6666666666666665</v>
      </c>
      <c r="I285">
        <f t="shared" si="5"/>
        <v>3.6666666666666665</v>
      </c>
      <c r="J285">
        <v>4</v>
      </c>
      <c r="K285">
        <v>4</v>
      </c>
      <c r="L285">
        <v>4</v>
      </c>
      <c r="M285">
        <v>4</v>
      </c>
      <c r="N285">
        <v>3</v>
      </c>
      <c r="O285">
        <v>3</v>
      </c>
    </row>
    <row r="286" spans="1:16" x14ac:dyDescent="0.2">
      <c r="A286" s="2">
        <v>5</v>
      </c>
      <c r="B286" s="2" t="s">
        <v>31</v>
      </c>
      <c r="C286" t="s">
        <v>73</v>
      </c>
      <c r="D286" s="2">
        <v>119</v>
      </c>
      <c r="E286" s="2">
        <v>2.98</v>
      </c>
      <c r="F286" s="2" t="s">
        <v>36</v>
      </c>
      <c r="G286" s="2" t="s">
        <v>49</v>
      </c>
      <c r="H286" s="2">
        <v>3.6666666666666665</v>
      </c>
      <c r="I286">
        <f t="shared" si="5"/>
        <v>3.6666666666666665</v>
      </c>
      <c r="J286">
        <v>4</v>
      </c>
      <c r="K286">
        <v>4</v>
      </c>
      <c r="L286">
        <v>4</v>
      </c>
      <c r="M286">
        <v>4</v>
      </c>
      <c r="N286">
        <v>3</v>
      </c>
      <c r="O286">
        <v>3</v>
      </c>
    </row>
    <row r="287" spans="1:16" x14ac:dyDescent="0.2">
      <c r="A287" s="2">
        <v>1</v>
      </c>
      <c r="B287" s="2" t="s">
        <v>31</v>
      </c>
      <c r="C287" t="s">
        <v>73</v>
      </c>
      <c r="D287" s="2">
        <v>123</v>
      </c>
      <c r="E287" s="2">
        <v>3.55</v>
      </c>
      <c r="F287" s="2" t="s">
        <v>37</v>
      </c>
      <c r="G287" s="2" t="s">
        <v>50</v>
      </c>
      <c r="H287" s="2">
        <v>1.3333333333333333</v>
      </c>
      <c r="I287">
        <f t="shared" si="5"/>
        <v>1.3333333333333333</v>
      </c>
      <c r="J287">
        <v>1</v>
      </c>
      <c r="L287">
        <v>1</v>
      </c>
      <c r="M287">
        <v>2</v>
      </c>
    </row>
    <row r="288" spans="1:16" x14ac:dyDescent="0.2">
      <c r="A288" s="2">
        <v>2</v>
      </c>
      <c r="B288" s="2" t="s">
        <v>31</v>
      </c>
      <c r="C288" t="s">
        <v>73</v>
      </c>
      <c r="D288" s="2">
        <v>126</v>
      </c>
      <c r="E288" s="2">
        <v>3.54</v>
      </c>
      <c r="F288" s="2" t="s">
        <v>37</v>
      </c>
      <c r="G288" s="2" t="s">
        <v>51</v>
      </c>
      <c r="H288" s="2">
        <v>4</v>
      </c>
      <c r="I288">
        <f t="shared" si="5"/>
        <v>4</v>
      </c>
      <c r="J288">
        <v>4</v>
      </c>
      <c r="L288">
        <v>4</v>
      </c>
      <c r="M288">
        <v>4</v>
      </c>
    </row>
    <row r="289" spans="1:16" x14ac:dyDescent="0.2">
      <c r="A289" s="2">
        <v>3</v>
      </c>
      <c r="B289" s="2" t="s">
        <v>31</v>
      </c>
      <c r="C289" t="s">
        <v>73</v>
      </c>
      <c r="D289" s="2">
        <v>131</v>
      </c>
      <c r="E289" s="2">
        <v>3.54</v>
      </c>
      <c r="F289" s="2" t="s">
        <v>37</v>
      </c>
      <c r="G289" s="2" t="s">
        <v>52</v>
      </c>
      <c r="H289" s="2">
        <v>1</v>
      </c>
      <c r="I289">
        <f t="shared" si="5"/>
        <v>1</v>
      </c>
      <c r="J289">
        <v>1</v>
      </c>
      <c r="L289">
        <v>1</v>
      </c>
      <c r="M289">
        <v>1</v>
      </c>
    </row>
    <row r="290" spans="1:16" x14ac:dyDescent="0.2">
      <c r="A290" s="2">
        <v>4</v>
      </c>
      <c r="B290" s="2" t="s">
        <v>31</v>
      </c>
      <c r="C290" t="s">
        <v>73</v>
      </c>
      <c r="D290" s="2">
        <v>121</v>
      </c>
      <c r="E290" s="2">
        <v>3.55</v>
      </c>
      <c r="F290" s="2" t="s">
        <v>37</v>
      </c>
      <c r="G290" s="2" t="s">
        <v>53</v>
      </c>
      <c r="H290" s="2">
        <v>0</v>
      </c>
      <c r="I290">
        <f t="shared" si="5"/>
        <v>0</v>
      </c>
      <c r="J290">
        <v>0</v>
      </c>
      <c r="L290">
        <v>0</v>
      </c>
      <c r="M290">
        <v>0</v>
      </c>
    </row>
    <row r="291" spans="1:16" x14ac:dyDescent="0.2">
      <c r="A291" s="2">
        <v>5</v>
      </c>
      <c r="B291" s="2" t="s">
        <v>31</v>
      </c>
      <c r="C291" t="s">
        <v>73</v>
      </c>
      <c r="D291" s="2">
        <v>127</v>
      </c>
      <c r="E291" s="2">
        <v>3.55</v>
      </c>
      <c r="F291" s="2" t="s">
        <v>37</v>
      </c>
      <c r="G291" s="2" t="s">
        <v>54</v>
      </c>
      <c r="H291" s="2">
        <v>1.3333333333333333</v>
      </c>
      <c r="I291">
        <f t="shared" si="5"/>
        <v>1.3333333333333333</v>
      </c>
      <c r="J291">
        <v>1</v>
      </c>
      <c r="L291">
        <v>2</v>
      </c>
      <c r="M291">
        <v>1</v>
      </c>
    </row>
    <row r="292" spans="1:16" x14ac:dyDescent="0.2">
      <c r="A292" s="2">
        <v>1</v>
      </c>
      <c r="B292" s="2" t="s">
        <v>31</v>
      </c>
      <c r="C292" t="s">
        <v>73</v>
      </c>
      <c r="D292" s="2">
        <v>69</v>
      </c>
      <c r="E292" s="2">
        <v>1.56</v>
      </c>
      <c r="F292" s="2" t="s">
        <v>38</v>
      </c>
      <c r="G292" s="2" t="s">
        <v>55</v>
      </c>
      <c r="H292" s="2">
        <v>4</v>
      </c>
      <c r="I292">
        <f t="shared" si="5"/>
        <v>4</v>
      </c>
      <c r="J292">
        <v>4</v>
      </c>
      <c r="L292">
        <v>4</v>
      </c>
      <c r="M292">
        <v>4</v>
      </c>
      <c r="P292">
        <v>4</v>
      </c>
    </row>
    <row r="293" spans="1:16" x14ac:dyDescent="0.2">
      <c r="A293" s="2">
        <v>2</v>
      </c>
      <c r="B293" s="2" t="s">
        <v>31</v>
      </c>
      <c r="C293" t="s">
        <v>73</v>
      </c>
      <c r="D293" s="2">
        <v>150</v>
      </c>
      <c r="E293" s="2">
        <v>3.73</v>
      </c>
      <c r="F293" s="2" t="s">
        <v>38</v>
      </c>
      <c r="G293" s="2" t="s">
        <v>56</v>
      </c>
      <c r="H293" s="2">
        <v>4</v>
      </c>
      <c r="I293">
        <f t="shared" si="5"/>
        <v>4</v>
      </c>
      <c r="J293">
        <v>4</v>
      </c>
      <c r="L293">
        <v>4</v>
      </c>
      <c r="M293">
        <v>4</v>
      </c>
      <c r="P293">
        <v>4</v>
      </c>
    </row>
    <row r="294" spans="1:16" x14ac:dyDescent="0.2">
      <c r="A294" s="2">
        <v>3</v>
      </c>
      <c r="B294" s="2" t="s">
        <v>31</v>
      </c>
      <c r="C294" t="s">
        <v>73</v>
      </c>
      <c r="D294" s="2">
        <v>114</v>
      </c>
      <c r="E294" s="2">
        <v>3.08</v>
      </c>
      <c r="F294" s="2" t="s">
        <v>38</v>
      </c>
      <c r="G294" s="2" t="s">
        <v>57</v>
      </c>
      <c r="H294" s="2">
        <v>3.25</v>
      </c>
      <c r="I294">
        <f t="shared" si="5"/>
        <v>3.25</v>
      </c>
      <c r="J294">
        <v>3</v>
      </c>
      <c r="L294">
        <v>3</v>
      </c>
      <c r="M294">
        <v>3</v>
      </c>
      <c r="P294">
        <v>4</v>
      </c>
    </row>
    <row r="295" spans="1:16" x14ac:dyDescent="0.2">
      <c r="A295" s="2">
        <v>4</v>
      </c>
      <c r="B295" s="2" t="s">
        <v>31</v>
      </c>
      <c r="C295" t="s">
        <v>73</v>
      </c>
      <c r="D295" s="2">
        <v>81</v>
      </c>
      <c r="E295" s="2">
        <v>2.16</v>
      </c>
      <c r="F295" s="2" t="s">
        <v>38</v>
      </c>
      <c r="G295" s="2" t="s">
        <v>58</v>
      </c>
      <c r="H295" s="2">
        <v>3</v>
      </c>
      <c r="I295">
        <f t="shared" si="5"/>
        <v>3</v>
      </c>
      <c r="J295">
        <v>3</v>
      </c>
      <c r="L295">
        <v>3</v>
      </c>
      <c r="M295">
        <v>3</v>
      </c>
      <c r="P295">
        <v>3</v>
      </c>
    </row>
    <row r="296" spans="1:16" x14ac:dyDescent="0.2">
      <c r="A296" s="2">
        <v>5</v>
      </c>
      <c r="B296" s="2" t="s">
        <v>31</v>
      </c>
      <c r="C296" t="s">
        <v>73</v>
      </c>
      <c r="D296" s="2">
        <v>138</v>
      </c>
      <c r="E296" s="2">
        <v>3.72</v>
      </c>
      <c r="F296" s="2" t="s">
        <v>38</v>
      </c>
      <c r="G296" s="2" t="s">
        <v>59</v>
      </c>
      <c r="H296" s="2">
        <v>3</v>
      </c>
      <c r="I296">
        <f t="shared" si="5"/>
        <v>3</v>
      </c>
      <c r="J296">
        <v>3</v>
      </c>
      <c r="L296">
        <v>3</v>
      </c>
      <c r="M296">
        <v>3</v>
      </c>
      <c r="P296">
        <v>3</v>
      </c>
    </row>
    <row r="297" spans="1:16" x14ac:dyDescent="0.2">
      <c r="A297" s="2">
        <v>1</v>
      </c>
      <c r="B297" s="2" t="s">
        <v>31</v>
      </c>
      <c r="C297" t="s">
        <v>73</v>
      </c>
      <c r="D297" s="2">
        <v>101</v>
      </c>
      <c r="E297" s="2">
        <v>3.09</v>
      </c>
      <c r="F297" s="2" t="s">
        <v>39</v>
      </c>
      <c r="G297" s="2" t="s">
        <v>60</v>
      </c>
      <c r="H297" s="2">
        <v>3</v>
      </c>
      <c r="I297">
        <f t="shared" si="5"/>
        <v>3</v>
      </c>
      <c r="J297">
        <v>3</v>
      </c>
      <c r="L297">
        <v>3</v>
      </c>
      <c r="M297">
        <v>3</v>
      </c>
      <c r="P297">
        <v>3</v>
      </c>
    </row>
    <row r="298" spans="1:16" x14ac:dyDescent="0.2">
      <c r="A298" s="2">
        <v>2</v>
      </c>
      <c r="B298" s="2" t="s">
        <v>31</v>
      </c>
      <c r="C298" t="s">
        <v>73</v>
      </c>
      <c r="D298" s="2">
        <v>82</v>
      </c>
      <c r="E298" s="2">
        <v>2.06</v>
      </c>
      <c r="F298" s="2" t="s">
        <v>39</v>
      </c>
      <c r="G298" s="2" t="s">
        <v>61</v>
      </c>
      <c r="H298" s="2">
        <v>3.75</v>
      </c>
      <c r="I298">
        <f t="shared" si="5"/>
        <v>3.75</v>
      </c>
      <c r="J298">
        <v>3</v>
      </c>
      <c r="L298">
        <v>4</v>
      </c>
      <c r="M298">
        <v>4</v>
      </c>
      <c r="P298">
        <v>4</v>
      </c>
    </row>
    <row r="299" spans="1:16" x14ac:dyDescent="0.2">
      <c r="A299" s="2">
        <v>3</v>
      </c>
      <c r="B299" s="2" t="s">
        <v>31</v>
      </c>
      <c r="C299" t="s">
        <v>73</v>
      </c>
      <c r="D299" s="2">
        <v>56</v>
      </c>
      <c r="E299" s="2">
        <v>1.49</v>
      </c>
      <c r="F299" s="2" t="s">
        <v>39</v>
      </c>
      <c r="G299" s="2" t="s">
        <v>62</v>
      </c>
      <c r="H299" s="2">
        <v>3.5</v>
      </c>
      <c r="I299">
        <f t="shared" si="5"/>
        <v>3.5</v>
      </c>
      <c r="J299">
        <v>3</v>
      </c>
      <c r="L299">
        <v>4</v>
      </c>
      <c r="M299">
        <v>4</v>
      </c>
      <c r="P299">
        <v>3</v>
      </c>
    </row>
    <row r="300" spans="1:16" x14ac:dyDescent="0.2">
      <c r="A300" s="2">
        <v>4</v>
      </c>
      <c r="B300" s="2" t="s">
        <v>31</v>
      </c>
      <c r="C300" t="s">
        <v>73</v>
      </c>
      <c r="D300" s="2">
        <v>57</v>
      </c>
      <c r="E300" s="2">
        <v>1.31</v>
      </c>
      <c r="F300" s="2" t="s">
        <v>39</v>
      </c>
      <c r="G300" s="2" t="s">
        <v>63</v>
      </c>
      <c r="H300" s="2">
        <v>4</v>
      </c>
      <c r="I300">
        <f t="shared" si="5"/>
        <v>4</v>
      </c>
      <c r="J300">
        <v>4</v>
      </c>
      <c r="L300">
        <v>4</v>
      </c>
      <c r="M300">
        <v>4</v>
      </c>
      <c r="P300">
        <v>4</v>
      </c>
    </row>
    <row r="301" spans="1:16" x14ac:dyDescent="0.2">
      <c r="A301" s="2">
        <v>5</v>
      </c>
      <c r="B301" s="2" t="s">
        <v>31</v>
      </c>
      <c r="C301" t="s">
        <v>73</v>
      </c>
      <c r="D301" s="2">
        <v>27</v>
      </c>
      <c r="E301" s="2">
        <v>0.43</v>
      </c>
      <c r="F301" s="2" t="s">
        <v>39</v>
      </c>
      <c r="G301" s="2" t="s">
        <v>64</v>
      </c>
      <c r="H301" s="2">
        <v>3</v>
      </c>
      <c r="I301">
        <f t="shared" si="5"/>
        <v>3</v>
      </c>
      <c r="J301">
        <v>3</v>
      </c>
      <c r="L301">
        <v>3</v>
      </c>
      <c r="M301">
        <v>3</v>
      </c>
      <c r="P301">
        <v>3</v>
      </c>
    </row>
    <row r="302" spans="1:16" x14ac:dyDescent="0.2">
      <c r="A302" s="2">
        <v>1</v>
      </c>
      <c r="B302" s="2" t="s">
        <v>32</v>
      </c>
      <c r="C302" t="s">
        <v>74</v>
      </c>
      <c r="D302" s="2">
        <v>157</v>
      </c>
      <c r="E302" s="2">
        <v>3.47</v>
      </c>
      <c r="F302" s="2" t="s">
        <v>35</v>
      </c>
      <c r="G302" s="2" t="s">
        <v>40</v>
      </c>
      <c r="H302" s="2">
        <v>2.1666666666666665</v>
      </c>
      <c r="I302">
        <f t="shared" si="5"/>
        <v>2.1666666666666665</v>
      </c>
      <c r="J302">
        <v>2</v>
      </c>
      <c r="K302">
        <v>1</v>
      </c>
      <c r="L302">
        <v>3</v>
      </c>
      <c r="M302">
        <v>3</v>
      </c>
      <c r="N302">
        <v>3</v>
      </c>
      <c r="O302">
        <v>1</v>
      </c>
    </row>
    <row r="303" spans="1:16" x14ac:dyDescent="0.2">
      <c r="A303" s="2">
        <v>2</v>
      </c>
      <c r="B303" s="2" t="s">
        <v>32</v>
      </c>
      <c r="C303" t="s">
        <v>74</v>
      </c>
      <c r="D303" s="2">
        <v>155</v>
      </c>
      <c r="E303" s="2">
        <v>3.47</v>
      </c>
      <c r="F303" s="2" t="s">
        <v>35</v>
      </c>
      <c r="G303" s="2" t="s">
        <v>41</v>
      </c>
      <c r="H303" s="2">
        <v>3.1666666666666665</v>
      </c>
      <c r="I303">
        <f t="shared" si="5"/>
        <v>3.1666666666666665</v>
      </c>
      <c r="J303">
        <v>3</v>
      </c>
      <c r="K303">
        <v>3</v>
      </c>
      <c r="L303">
        <v>3</v>
      </c>
      <c r="M303">
        <v>3</v>
      </c>
      <c r="N303">
        <v>4</v>
      </c>
      <c r="O303">
        <v>3</v>
      </c>
    </row>
    <row r="304" spans="1:16" x14ac:dyDescent="0.2">
      <c r="A304" s="2">
        <v>3</v>
      </c>
      <c r="B304" s="2" t="s">
        <v>32</v>
      </c>
      <c r="C304" t="s">
        <v>74</v>
      </c>
      <c r="D304" s="2">
        <v>173</v>
      </c>
      <c r="E304" s="2">
        <v>3.47</v>
      </c>
      <c r="F304" s="2" t="s">
        <v>35</v>
      </c>
      <c r="G304" s="2" t="s">
        <v>42</v>
      </c>
      <c r="H304" s="2">
        <v>3.6666666666666665</v>
      </c>
      <c r="I304">
        <f t="shared" si="5"/>
        <v>3.6666666666666665</v>
      </c>
      <c r="J304">
        <v>4</v>
      </c>
      <c r="K304">
        <v>4</v>
      </c>
      <c r="L304">
        <v>4</v>
      </c>
      <c r="M304">
        <v>4</v>
      </c>
      <c r="N304">
        <v>4</v>
      </c>
      <c r="O304">
        <v>2</v>
      </c>
    </row>
    <row r="305" spans="1:16" x14ac:dyDescent="0.2">
      <c r="A305" s="2">
        <v>4</v>
      </c>
      <c r="B305" s="2" t="s">
        <v>32</v>
      </c>
      <c r="C305" t="s">
        <v>74</v>
      </c>
      <c r="D305" s="2">
        <v>143</v>
      </c>
      <c r="E305" s="2">
        <v>3.47</v>
      </c>
      <c r="F305" s="2" t="s">
        <v>35</v>
      </c>
      <c r="G305" s="2" t="s">
        <v>43</v>
      </c>
      <c r="H305" s="2">
        <v>2.8333333333333335</v>
      </c>
      <c r="I305">
        <f t="shared" si="5"/>
        <v>2.8333333333333335</v>
      </c>
      <c r="J305">
        <v>3</v>
      </c>
      <c r="K305">
        <v>3</v>
      </c>
      <c r="L305">
        <v>3</v>
      </c>
      <c r="M305">
        <v>3</v>
      </c>
      <c r="N305">
        <v>3</v>
      </c>
      <c r="O305">
        <v>2</v>
      </c>
    </row>
    <row r="306" spans="1:16" x14ac:dyDescent="0.2">
      <c r="A306" s="2">
        <v>5</v>
      </c>
      <c r="B306" s="2" t="s">
        <v>32</v>
      </c>
      <c r="C306" t="s">
        <v>74</v>
      </c>
      <c r="D306" s="2">
        <v>153</v>
      </c>
      <c r="E306" s="2">
        <v>3.47</v>
      </c>
      <c r="F306" s="2" t="s">
        <v>35</v>
      </c>
      <c r="G306" s="2" t="s">
        <v>44</v>
      </c>
      <c r="H306" s="2">
        <v>2.1666666666666665</v>
      </c>
      <c r="I306">
        <f t="shared" si="5"/>
        <v>2.1666666666666665</v>
      </c>
      <c r="J306">
        <v>2</v>
      </c>
      <c r="K306">
        <v>1</v>
      </c>
      <c r="L306">
        <v>2</v>
      </c>
      <c r="M306">
        <v>2</v>
      </c>
      <c r="N306">
        <v>3</v>
      </c>
      <c r="O306">
        <v>3</v>
      </c>
    </row>
    <row r="307" spans="1:16" x14ac:dyDescent="0.2">
      <c r="A307" s="2">
        <v>1</v>
      </c>
      <c r="B307" s="2" t="s">
        <v>32</v>
      </c>
      <c r="C307" t="s">
        <v>74</v>
      </c>
      <c r="D307" s="2">
        <v>150</v>
      </c>
      <c r="E307" s="2">
        <v>3.47</v>
      </c>
      <c r="F307" s="2" t="s">
        <v>36</v>
      </c>
      <c r="G307" s="2" t="s">
        <v>45</v>
      </c>
      <c r="H307" s="2">
        <v>3.6666666666666665</v>
      </c>
      <c r="I307">
        <f t="shared" si="5"/>
        <v>3.6666666666666665</v>
      </c>
      <c r="J307">
        <v>4</v>
      </c>
      <c r="K307">
        <v>4</v>
      </c>
      <c r="L307">
        <v>4</v>
      </c>
      <c r="M307">
        <v>4</v>
      </c>
      <c r="N307">
        <v>3</v>
      </c>
      <c r="O307">
        <v>3</v>
      </c>
    </row>
    <row r="308" spans="1:16" x14ac:dyDescent="0.2">
      <c r="A308" s="2">
        <v>2</v>
      </c>
      <c r="B308" s="2" t="s">
        <v>32</v>
      </c>
      <c r="C308" t="s">
        <v>74</v>
      </c>
      <c r="D308" s="2">
        <v>161</v>
      </c>
      <c r="E308" s="2">
        <v>3.54</v>
      </c>
      <c r="F308" s="2" t="s">
        <v>36</v>
      </c>
      <c r="G308" s="2" t="s">
        <v>46</v>
      </c>
      <c r="H308" s="2">
        <v>3</v>
      </c>
      <c r="I308">
        <f t="shared" si="5"/>
        <v>3</v>
      </c>
      <c r="J308">
        <v>3</v>
      </c>
      <c r="K308">
        <v>3</v>
      </c>
      <c r="L308">
        <v>3</v>
      </c>
      <c r="M308">
        <v>3</v>
      </c>
      <c r="N308">
        <v>3</v>
      </c>
      <c r="O308">
        <v>3</v>
      </c>
    </row>
    <row r="309" spans="1:16" x14ac:dyDescent="0.2">
      <c r="A309" s="2">
        <v>3</v>
      </c>
      <c r="B309" s="2" t="s">
        <v>32</v>
      </c>
      <c r="C309" t="s">
        <v>74</v>
      </c>
      <c r="D309" s="2">
        <v>147</v>
      </c>
      <c r="E309" s="2">
        <v>3.47</v>
      </c>
      <c r="F309" s="2" t="s">
        <v>36</v>
      </c>
      <c r="G309" s="2" t="s">
        <v>47</v>
      </c>
      <c r="H309" s="2">
        <v>3.5</v>
      </c>
      <c r="I309">
        <f t="shared" si="5"/>
        <v>3.5</v>
      </c>
      <c r="J309">
        <v>4</v>
      </c>
      <c r="K309">
        <v>3</v>
      </c>
      <c r="L309">
        <v>4</v>
      </c>
      <c r="M309">
        <v>4</v>
      </c>
      <c r="N309">
        <v>3</v>
      </c>
      <c r="O309">
        <v>3</v>
      </c>
    </row>
    <row r="310" spans="1:16" x14ac:dyDescent="0.2">
      <c r="A310" s="2">
        <v>4</v>
      </c>
      <c r="B310" s="2" t="s">
        <v>32</v>
      </c>
      <c r="C310" t="s">
        <v>74</v>
      </c>
      <c r="D310" s="2">
        <v>157</v>
      </c>
      <c r="E310" s="2">
        <v>3.47</v>
      </c>
      <c r="F310" s="2" t="s">
        <v>36</v>
      </c>
      <c r="G310" s="2" t="s">
        <v>48</v>
      </c>
      <c r="H310" s="2">
        <v>3</v>
      </c>
      <c r="I310">
        <f t="shared" si="5"/>
        <v>3</v>
      </c>
      <c r="J310">
        <v>3</v>
      </c>
      <c r="K310">
        <v>3</v>
      </c>
      <c r="L310">
        <v>3</v>
      </c>
      <c r="M310">
        <v>3</v>
      </c>
      <c r="N310">
        <v>3</v>
      </c>
      <c r="O310">
        <v>3</v>
      </c>
    </row>
    <row r="311" spans="1:16" x14ac:dyDescent="0.2">
      <c r="A311" s="2">
        <v>5</v>
      </c>
      <c r="B311" s="2" t="s">
        <v>32</v>
      </c>
      <c r="C311" t="s">
        <v>74</v>
      </c>
      <c r="D311" s="2">
        <v>142</v>
      </c>
      <c r="E311" s="2">
        <v>3.47</v>
      </c>
      <c r="F311" s="2" t="s">
        <v>36</v>
      </c>
      <c r="G311" s="2" t="s">
        <v>49</v>
      </c>
      <c r="H311" s="2">
        <v>3.1666666666666665</v>
      </c>
      <c r="I311">
        <f t="shared" si="5"/>
        <v>3.1666666666666665</v>
      </c>
      <c r="J311">
        <v>4</v>
      </c>
      <c r="K311">
        <v>4</v>
      </c>
      <c r="L311">
        <v>3</v>
      </c>
      <c r="M311">
        <v>3</v>
      </c>
      <c r="N311">
        <v>3</v>
      </c>
      <c r="O311">
        <v>2</v>
      </c>
    </row>
    <row r="312" spans="1:16" x14ac:dyDescent="0.2">
      <c r="A312" s="2">
        <v>1</v>
      </c>
      <c r="B312" s="2" t="s">
        <v>32</v>
      </c>
      <c r="C312" t="s">
        <v>74</v>
      </c>
      <c r="D312" s="2">
        <v>124</v>
      </c>
      <c r="E312" s="2">
        <v>3.32</v>
      </c>
      <c r="F312" s="2" t="s">
        <v>37</v>
      </c>
      <c r="G312" s="2" t="s">
        <v>50</v>
      </c>
      <c r="H312" s="2">
        <v>2.4</v>
      </c>
      <c r="I312">
        <f t="shared" si="5"/>
        <v>2.4</v>
      </c>
      <c r="J312">
        <v>2</v>
      </c>
      <c r="L312">
        <v>3</v>
      </c>
      <c r="M312">
        <v>3</v>
      </c>
      <c r="N312">
        <v>1</v>
      </c>
      <c r="O312">
        <v>3</v>
      </c>
    </row>
    <row r="313" spans="1:16" x14ac:dyDescent="0.2">
      <c r="A313" s="2">
        <v>2</v>
      </c>
      <c r="B313" s="2" t="s">
        <v>32</v>
      </c>
      <c r="C313" t="s">
        <v>74</v>
      </c>
      <c r="D313" s="2">
        <v>98</v>
      </c>
      <c r="E313" s="2">
        <v>3.32</v>
      </c>
      <c r="F313" s="2" t="s">
        <v>37</v>
      </c>
      <c r="G313" s="2" t="s">
        <v>51</v>
      </c>
      <c r="H313" s="2">
        <v>4</v>
      </c>
      <c r="I313">
        <f t="shared" si="5"/>
        <v>4</v>
      </c>
      <c r="J313">
        <v>4</v>
      </c>
      <c r="L313">
        <v>4</v>
      </c>
      <c r="M313">
        <v>4</v>
      </c>
    </row>
    <row r="314" spans="1:16" x14ac:dyDescent="0.2">
      <c r="A314" s="2">
        <v>3</v>
      </c>
      <c r="B314" s="2" t="s">
        <v>32</v>
      </c>
      <c r="C314" t="s">
        <v>74</v>
      </c>
      <c r="D314" s="2">
        <v>131</v>
      </c>
      <c r="E314" s="2">
        <v>3.32</v>
      </c>
      <c r="F314" s="2" t="s">
        <v>37</v>
      </c>
      <c r="G314" s="2" t="s">
        <v>52</v>
      </c>
      <c r="H314" s="2">
        <v>0</v>
      </c>
      <c r="I314">
        <f t="shared" si="5"/>
        <v>0</v>
      </c>
      <c r="J314">
        <v>0</v>
      </c>
      <c r="L314">
        <v>0</v>
      </c>
      <c r="M314">
        <v>0</v>
      </c>
    </row>
    <row r="315" spans="1:16" x14ac:dyDescent="0.2">
      <c r="A315" s="2">
        <v>4</v>
      </c>
      <c r="B315" s="2" t="s">
        <v>32</v>
      </c>
      <c r="C315" t="s">
        <v>74</v>
      </c>
      <c r="D315" s="2">
        <v>121</v>
      </c>
      <c r="E315" s="2">
        <v>3.32</v>
      </c>
      <c r="F315" s="2" t="s">
        <v>37</v>
      </c>
      <c r="G315" s="2" t="s">
        <v>53</v>
      </c>
      <c r="H315" s="2">
        <v>0</v>
      </c>
      <c r="I315">
        <f t="shared" si="5"/>
        <v>0</v>
      </c>
      <c r="J315">
        <v>0</v>
      </c>
      <c r="L315">
        <v>0</v>
      </c>
      <c r="M315">
        <v>0</v>
      </c>
    </row>
    <row r="316" spans="1:16" x14ac:dyDescent="0.2">
      <c r="A316" s="2">
        <v>5</v>
      </c>
      <c r="B316" s="2" t="s">
        <v>32</v>
      </c>
      <c r="C316" t="s">
        <v>74</v>
      </c>
      <c r="D316" s="2">
        <v>128</v>
      </c>
      <c r="E316" s="2">
        <v>3.32</v>
      </c>
      <c r="F316" s="2" t="s">
        <v>37</v>
      </c>
      <c r="G316" s="2" t="s">
        <v>54</v>
      </c>
      <c r="H316" s="2">
        <v>4</v>
      </c>
      <c r="I316">
        <f t="shared" si="5"/>
        <v>4</v>
      </c>
      <c r="J316">
        <v>4</v>
      </c>
      <c r="L316">
        <v>4</v>
      </c>
      <c r="M316">
        <v>4</v>
      </c>
    </row>
    <row r="317" spans="1:16" x14ac:dyDescent="0.2">
      <c r="A317" s="2">
        <v>1</v>
      </c>
      <c r="B317" s="2" t="s">
        <v>32</v>
      </c>
      <c r="C317" t="s">
        <v>74</v>
      </c>
      <c r="D317" s="2">
        <v>132</v>
      </c>
      <c r="E317" s="2">
        <v>3.47</v>
      </c>
      <c r="F317" s="2" t="s">
        <v>38</v>
      </c>
      <c r="G317" s="2" t="s">
        <v>55</v>
      </c>
      <c r="H317" s="2">
        <v>4</v>
      </c>
      <c r="I317">
        <f t="shared" si="5"/>
        <v>4</v>
      </c>
      <c r="J317">
        <v>4</v>
      </c>
      <c r="L317">
        <v>4</v>
      </c>
      <c r="M317">
        <v>4</v>
      </c>
      <c r="P317">
        <v>4</v>
      </c>
    </row>
    <row r="318" spans="1:16" x14ac:dyDescent="0.2">
      <c r="A318" s="2">
        <v>2</v>
      </c>
      <c r="B318" s="2" t="s">
        <v>32</v>
      </c>
      <c r="C318" t="s">
        <v>74</v>
      </c>
      <c r="D318" s="2">
        <v>150</v>
      </c>
      <c r="E318" s="2">
        <v>3.47</v>
      </c>
      <c r="F318" s="2" t="s">
        <v>38</v>
      </c>
      <c r="G318" s="2" t="s">
        <v>56</v>
      </c>
      <c r="H318" s="2">
        <v>4</v>
      </c>
      <c r="I318">
        <f t="shared" si="5"/>
        <v>4</v>
      </c>
      <c r="J318">
        <v>4</v>
      </c>
      <c r="L318">
        <v>4</v>
      </c>
      <c r="M318">
        <v>4</v>
      </c>
      <c r="P318">
        <v>4</v>
      </c>
    </row>
    <row r="319" spans="1:16" x14ac:dyDescent="0.2">
      <c r="A319" s="2">
        <v>3</v>
      </c>
      <c r="B319" s="2" t="s">
        <v>32</v>
      </c>
      <c r="C319" t="s">
        <v>74</v>
      </c>
      <c r="D319" s="2">
        <v>133</v>
      </c>
      <c r="E319" s="2">
        <v>3.47</v>
      </c>
      <c r="F319" s="2" t="s">
        <v>38</v>
      </c>
      <c r="G319" s="2" t="s">
        <v>57</v>
      </c>
      <c r="H319" s="2">
        <v>3.25</v>
      </c>
      <c r="I319">
        <f t="shared" si="5"/>
        <v>3.25</v>
      </c>
      <c r="J319">
        <v>3</v>
      </c>
      <c r="L319">
        <v>3</v>
      </c>
      <c r="M319">
        <v>3</v>
      </c>
      <c r="P319">
        <v>4</v>
      </c>
    </row>
    <row r="320" spans="1:16" x14ac:dyDescent="0.2">
      <c r="A320" s="2">
        <v>4</v>
      </c>
      <c r="B320" s="2" t="s">
        <v>32</v>
      </c>
      <c r="C320" t="s">
        <v>74</v>
      </c>
      <c r="D320" s="2">
        <v>129</v>
      </c>
      <c r="E320" s="2">
        <v>3.54</v>
      </c>
      <c r="F320" s="2" t="s">
        <v>38</v>
      </c>
      <c r="G320" s="2" t="s">
        <v>58</v>
      </c>
      <c r="H320" s="2">
        <v>3</v>
      </c>
      <c r="I320">
        <f t="shared" si="5"/>
        <v>3</v>
      </c>
      <c r="J320">
        <v>3</v>
      </c>
      <c r="L320">
        <v>3</v>
      </c>
      <c r="M320">
        <v>3</v>
      </c>
      <c r="P320">
        <v>3</v>
      </c>
    </row>
    <row r="321" spans="1:16" x14ac:dyDescent="0.2">
      <c r="A321" s="2">
        <v>5</v>
      </c>
      <c r="B321" s="2" t="s">
        <v>32</v>
      </c>
      <c r="C321" t="s">
        <v>74</v>
      </c>
      <c r="D321" s="2">
        <v>138</v>
      </c>
      <c r="E321" s="2">
        <v>3.54</v>
      </c>
      <c r="F321" s="2" t="s">
        <v>38</v>
      </c>
      <c r="G321" s="2" t="s">
        <v>59</v>
      </c>
      <c r="H321" s="2">
        <v>3.75</v>
      </c>
      <c r="I321">
        <f t="shared" si="5"/>
        <v>3.75</v>
      </c>
      <c r="J321">
        <v>4</v>
      </c>
      <c r="L321">
        <v>4</v>
      </c>
      <c r="M321">
        <v>4</v>
      </c>
      <c r="P321">
        <v>3</v>
      </c>
    </row>
    <row r="322" spans="1:16" x14ac:dyDescent="0.2">
      <c r="A322" s="2">
        <v>1</v>
      </c>
      <c r="B322" s="2" t="s">
        <v>32</v>
      </c>
      <c r="C322" t="s">
        <v>74</v>
      </c>
      <c r="D322" s="2">
        <v>117</v>
      </c>
      <c r="E322" s="2">
        <v>3.31</v>
      </c>
      <c r="F322" s="2" t="s">
        <v>39</v>
      </c>
      <c r="G322" s="2" t="s">
        <v>60</v>
      </c>
      <c r="H322" s="2">
        <v>3</v>
      </c>
      <c r="I322">
        <f t="shared" si="5"/>
        <v>3</v>
      </c>
      <c r="J322">
        <v>3</v>
      </c>
      <c r="L322">
        <v>2</v>
      </c>
      <c r="M322">
        <v>3</v>
      </c>
      <c r="P322">
        <v>4</v>
      </c>
    </row>
    <row r="323" spans="1:16" x14ac:dyDescent="0.2">
      <c r="A323" s="2">
        <v>2</v>
      </c>
      <c r="B323" s="2" t="s">
        <v>32</v>
      </c>
      <c r="C323" t="s">
        <v>74</v>
      </c>
      <c r="D323" s="2">
        <v>125</v>
      </c>
      <c r="E323" s="2">
        <v>3.31</v>
      </c>
      <c r="F323" s="2" t="s">
        <v>39</v>
      </c>
      <c r="G323" s="2" t="s">
        <v>61</v>
      </c>
      <c r="H323" s="2">
        <v>3</v>
      </c>
      <c r="I323">
        <f t="shared" si="5"/>
        <v>3</v>
      </c>
      <c r="J323">
        <v>3</v>
      </c>
      <c r="L323">
        <v>3</v>
      </c>
      <c r="M323">
        <v>3</v>
      </c>
      <c r="P323">
        <v>3</v>
      </c>
    </row>
    <row r="324" spans="1:16" x14ac:dyDescent="0.2">
      <c r="A324" s="2">
        <v>3</v>
      </c>
      <c r="B324" s="2" t="s">
        <v>32</v>
      </c>
      <c r="C324" t="s">
        <v>74</v>
      </c>
      <c r="D324" s="2">
        <v>115</v>
      </c>
      <c r="E324" s="2">
        <v>3.31</v>
      </c>
      <c r="F324" s="2" t="s">
        <v>39</v>
      </c>
      <c r="G324" s="2" t="s">
        <v>62</v>
      </c>
      <c r="H324" s="2">
        <v>2.5</v>
      </c>
      <c r="I324">
        <f t="shared" si="5"/>
        <v>2.5</v>
      </c>
      <c r="J324">
        <v>2</v>
      </c>
      <c r="L324">
        <v>3</v>
      </c>
      <c r="M324">
        <v>2</v>
      </c>
      <c r="P324">
        <v>3</v>
      </c>
    </row>
    <row r="325" spans="1:16" x14ac:dyDescent="0.2">
      <c r="A325" s="2">
        <v>4</v>
      </c>
      <c r="B325" s="2" t="s">
        <v>32</v>
      </c>
      <c r="C325" t="s">
        <v>74</v>
      </c>
      <c r="D325" s="2">
        <v>120</v>
      </c>
      <c r="E325" s="2">
        <v>3.31</v>
      </c>
      <c r="F325" s="2" t="s">
        <v>39</v>
      </c>
      <c r="G325" s="2" t="s">
        <v>63</v>
      </c>
      <c r="H325" s="2">
        <v>3</v>
      </c>
      <c r="I325">
        <f t="shared" si="5"/>
        <v>3</v>
      </c>
      <c r="J325">
        <v>3</v>
      </c>
      <c r="L325">
        <v>3</v>
      </c>
      <c r="M325">
        <v>3</v>
      </c>
      <c r="P325">
        <v>3</v>
      </c>
    </row>
    <row r="326" spans="1:16" x14ac:dyDescent="0.2">
      <c r="A326" s="2">
        <v>5</v>
      </c>
      <c r="B326" s="2" t="s">
        <v>32</v>
      </c>
      <c r="C326" t="s">
        <v>74</v>
      </c>
      <c r="D326" s="2">
        <v>115</v>
      </c>
      <c r="E326" s="2">
        <v>3.31</v>
      </c>
      <c r="F326" s="2" t="s">
        <v>39</v>
      </c>
      <c r="G326" s="2" t="s">
        <v>64</v>
      </c>
      <c r="H326" s="2">
        <v>3</v>
      </c>
      <c r="I326">
        <f t="shared" si="5"/>
        <v>3</v>
      </c>
      <c r="J326">
        <v>3</v>
      </c>
      <c r="L326">
        <v>3</v>
      </c>
      <c r="M326">
        <v>3</v>
      </c>
      <c r="P326">
        <v>3</v>
      </c>
    </row>
    <row r="327" spans="1:16" x14ac:dyDescent="0.2">
      <c r="A327" s="2">
        <v>1</v>
      </c>
      <c r="B327" s="2" t="s">
        <v>33</v>
      </c>
      <c r="C327" t="s">
        <v>74</v>
      </c>
      <c r="D327" s="2">
        <v>103</v>
      </c>
      <c r="E327" s="2">
        <v>10.45</v>
      </c>
      <c r="F327" s="2" t="s">
        <v>35</v>
      </c>
      <c r="G327" s="2" t="s">
        <v>40</v>
      </c>
      <c r="H327" s="2">
        <v>2.5</v>
      </c>
      <c r="I327">
        <f t="shared" si="5"/>
        <v>2.5</v>
      </c>
      <c r="J327">
        <v>2</v>
      </c>
      <c r="K327">
        <v>4</v>
      </c>
      <c r="L327">
        <v>2</v>
      </c>
      <c r="M327">
        <v>2</v>
      </c>
    </row>
    <row r="328" spans="1:16" x14ac:dyDescent="0.2">
      <c r="A328" s="2">
        <v>2</v>
      </c>
      <c r="B328" s="2" t="s">
        <v>33</v>
      </c>
      <c r="C328" t="s">
        <v>74</v>
      </c>
      <c r="D328" s="2">
        <v>160</v>
      </c>
      <c r="E328" s="2">
        <v>19.350000000000001</v>
      </c>
      <c r="F328" s="2" t="s">
        <v>35</v>
      </c>
      <c r="G328" s="2" t="s">
        <v>41</v>
      </c>
      <c r="H328" s="2">
        <v>3.1666666666666665</v>
      </c>
      <c r="I328">
        <f t="shared" si="5"/>
        <v>3.1666666666666665</v>
      </c>
      <c r="J328">
        <v>3</v>
      </c>
      <c r="K328">
        <v>3</v>
      </c>
      <c r="L328">
        <v>3</v>
      </c>
      <c r="M328">
        <v>3</v>
      </c>
      <c r="N328">
        <v>4</v>
      </c>
      <c r="O328">
        <v>3</v>
      </c>
    </row>
    <row r="329" spans="1:16" x14ac:dyDescent="0.2">
      <c r="A329" s="2">
        <v>3</v>
      </c>
      <c r="B329" s="2" t="s">
        <v>33</v>
      </c>
      <c r="C329" t="s">
        <v>74</v>
      </c>
      <c r="D329" s="2">
        <v>85</v>
      </c>
      <c r="E329" s="2">
        <v>1.41</v>
      </c>
      <c r="F329" s="2" t="s">
        <v>35</v>
      </c>
      <c r="G329" s="2" t="s">
        <v>42</v>
      </c>
      <c r="H329" s="2">
        <v>4.5</v>
      </c>
      <c r="I329">
        <f t="shared" si="5"/>
        <v>4.5</v>
      </c>
      <c r="J329">
        <v>4</v>
      </c>
      <c r="K329">
        <v>4</v>
      </c>
      <c r="L329">
        <v>5</v>
      </c>
      <c r="M329">
        <v>5</v>
      </c>
    </row>
    <row r="330" spans="1:16" x14ac:dyDescent="0.2">
      <c r="A330" s="2">
        <v>4</v>
      </c>
      <c r="B330" s="2" t="s">
        <v>33</v>
      </c>
      <c r="C330" t="s">
        <v>74</v>
      </c>
      <c r="D330" s="2">
        <v>54</v>
      </c>
      <c r="E330" s="2">
        <v>0.95</v>
      </c>
      <c r="F330" s="2" t="s">
        <v>35</v>
      </c>
      <c r="G330" s="2" t="s">
        <v>43</v>
      </c>
      <c r="H330" s="2">
        <v>4.5</v>
      </c>
      <c r="I330">
        <f t="shared" si="5"/>
        <v>4.5</v>
      </c>
      <c r="J330">
        <v>5</v>
      </c>
      <c r="K330">
        <v>3</v>
      </c>
      <c r="L330">
        <v>5</v>
      </c>
      <c r="M330">
        <v>5</v>
      </c>
    </row>
    <row r="331" spans="1:16" x14ac:dyDescent="0.2">
      <c r="A331" s="2">
        <v>5</v>
      </c>
      <c r="B331" s="2" t="s">
        <v>33</v>
      </c>
      <c r="C331" t="s">
        <v>74</v>
      </c>
      <c r="D331" s="2">
        <v>61</v>
      </c>
      <c r="E331" s="2">
        <v>1.41</v>
      </c>
      <c r="F331" s="2" t="s">
        <v>35</v>
      </c>
      <c r="G331" s="2" t="s">
        <v>44</v>
      </c>
      <c r="H331" s="2">
        <v>4.5</v>
      </c>
      <c r="I331">
        <f t="shared" si="5"/>
        <v>4.5</v>
      </c>
      <c r="J331">
        <v>5</v>
      </c>
      <c r="K331">
        <v>3</v>
      </c>
      <c r="L331">
        <v>5</v>
      </c>
      <c r="M331">
        <v>5</v>
      </c>
    </row>
    <row r="332" spans="1:16" x14ac:dyDescent="0.2">
      <c r="A332" s="2">
        <v>1</v>
      </c>
      <c r="B332" s="2" t="s">
        <v>33</v>
      </c>
      <c r="C332" t="s">
        <v>74</v>
      </c>
      <c r="D332" s="2">
        <v>151</v>
      </c>
      <c r="E332" s="2">
        <v>19.04</v>
      </c>
      <c r="F332" s="2" t="s">
        <v>36</v>
      </c>
      <c r="G332" s="2" t="s">
        <v>45</v>
      </c>
      <c r="H332" s="2">
        <v>3.6666666666666665</v>
      </c>
      <c r="I332">
        <f t="shared" ref="I332:I376" si="6">AVERAGE(J332:P332)</f>
        <v>3.6666666666666665</v>
      </c>
      <c r="J332">
        <v>4</v>
      </c>
      <c r="K332">
        <v>4</v>
      </c>
      <c r="L332">
        <v>4</v>
      </c>
      <c r="M332">
        <v>4</v>
      </c>
      <c r="N332">
        <v>3</v>
      </c>
      <c r="O332">
        <v>3</v>
      </c>
    </row>
    <row r="333" spans="1:16" x14ac:dyDescent="0.2">
      <c r="A333" s="2">
        <v>2</v>
      </c>
      <c r="B333" s="2" t="s">
        <v>33</v>
      </c>
      <c r="C333" t="s">
        <v>74</v>
      </c>
      <c r="D333" s="2">
        <v>165</v>
      </c>
      <c r="E333" s="2">
        <v>19.27</v>
      </c>
      <c r="F333" s="2" t="s">
        <v>36</v>
      </c>
      <c r="G333" s="2" t="s">
        <v>46</v>
      </c>
      <c r="H333" s="2">
        <v>3</v>
      </c>
      <c r="I333">
        <f t="shared" si="6"/>
        <v>3</v>
      </c>
      <c r="J333">
        <v>3</v>
      </c>
      <c r="K333">
        <v>3</v>
      </c>
      <c r="L333">
        <v>3</v>
      </c>
      <c r="M333">
        <v>3</v>
      </c>
      <c r="N333">
        <v>3</v>
      </c>
      <c r="O333">
        <v>3</v>
      </c>
    </row>
    <row r="334" spans="1:16" x14ac:dyDescent="0.2">
      <c r="A334" s="2">
        <v>3</v>
      </c>
      <c r="B334" s="2" t="s">
        <v>33</v>
      </c>
      <c r="C334" t="s">
        <v>74</v>
      </c>
      <c r="D334" s="2">
        <v>97</v>
      </c>
      <c r="E334" s="2">
        <v>8.89</v>
      </c>
      <c r="F334" s="2" t="s">
        <v>36</v>
      </c>
      <c r="G334" s="2" t="s">
        <v>47</v>
      </c>
      <c r="H334" s="2">
        <v>3.5</v>
      </c>
      <c r="I334">
        <f t="shared" si="6"/>
        <v>3.5</v>
      </c>
      <c r="J334">
        <v>4</v>
      </c>
      <c r="K334">
        <v>3</v>
      </c>
      <c r="L334">
        <v>4</v>
      </c>
      <c r="M334">
        <v>4</v>
      </c>
      <c r="N334">
        <v>3</v>
      </c>
      <c r="O334">
        <v>3</v>
      </c>
    </row>
    <row r="335" spans="1:16" x14ac:dyDescent="0.2">
      <c r="A335" s="2">
        <v>4</v>
      </c>
      <c r="B335" s="2" t="s">
        <v>33</v>
      </c>
      <c r="C335" t="s">
        <v>74</v>
      </c>
      <c r="D335" s="2">
        <v>124</v>
      </c>
      <c r="E335" s="2">
        <v>12.73</v>
      </c>
      <c r="F335" s="2" t="s">
        <v>36</v>
      </c>
      <c r="G335" s="2" t="s">
        <v>48</v>
      </c>
      <c r="H335" s="2">
        <v>3.6666666666666665</v>
      </c>
      <c r="I335">
        <f t="shared" si="6"/>
        <v>3.6666666666666665</v>
      </c>
      <c r="J335">
        <v>4</v>
      </c>
      <c r="K335">
        <v>4</v>
      </c>
      <c r="L335">
        <v>4</v>
      </c>
      <c r="M335">
        <v>4</v>
      </c>
      <c r="N335">
        <v>3</v>
      </c>
      <c r="O335">
        <v>3</v>
      </c>
    </row>
    <row r="336" spans="1:16" x14ac:dyDescent="0.2">
      <c r="A336" s="2">
        <v>5</v>
      </c>
      <c r="B336" s="2" t="s">
        <v>33</v>
      </c>
      <c r="C336" t="s">
        <v>74</v>
      </c>
      <c r="D336" s="2">
        <v>144</v>
      </c>
      <c r="E336" s="2">
        <v>24.7</v>
      </c>
      <c r="F336" s="2" t="s">
        <v>36</v>
      </c>
      <c r="G336" s="2" t="s">
        <v>49</v>
      </c>
      <c r="H336" s="2">
        <v>3.6666666666666665</v>
      </c>
      <c r="I336">
        <f t="shared" si="6"/>
        <v>3.6666666666666665</v>
      </c>
      <c r="J336">
        <v>4</v>
      </c>
      <c r="K336">
        <v>4</v>
      </c>
      <c r="L336">
        <v>4</v>
      </c>
      <c r="M336">
        <v>4</v>
      </c>
      <c r="N336">
        <v>3</v>
      </c>
      <c r="O336">
        <v>3</v>
      </c>
    </row>
    <row r="337" spans="1:16" x14ac:dyDescent="0.2">
      <c r="A337" s="2">
        <v>1</v>
      </c>
      <c r="B337" s="2" t="s">
        <v>33</v>
      </c>
      <c r="C337" t="s">
        <v>74</v>
      </c>
      <c r="D337" s="2">
        <v>63</v>
      </c>
      <c r="E337" s="2">
        <v>1.98</v>
      </c>
      <c r="F337" s="2" t="s">
        <v>37</v>
      </c>
      <c r="G337" s="2" t="s">
        <v>50</v>
      </c>
      <c r="H337" s="2">
        <v>2</v>
      </c>
      <c r="I337">
        <f t="shared" si="6"/>
        <v>2</v>
      </c>
      <c r="J337">
        <v>2</v>
      </c>
      <c r="L337">
        <v>2</v>
      </c>
      <c r="M337">
        <v>2</v>
      </c>
    </row>
    <row r="338" spans="1:16" x14ac:dyDescent="0.2">
      <c r="A338" s="2">
        <v>2</v>
      </c>
      <c r="B338" s="2" t="s">
        <v>33</v>
      </c>
      <c r="C338" t="s">
        <v>74</v>
      </c>
      <c r="D338" s="2">
        <v>54</v>
      </c>
      <c r="E338" s="2">
        <v>1.33</v>
      </c>
      <c r="F338" s="2" t="s">
        <v>37</v>
      </c>
      <c r="G338" s="2" t="s">
        <v>51</v>
      </c>
      <c r="H338" s="2">
        <v>2.6666666666666665</v>
      </c>
      <c r="I338">
        <f t="shared" si="6"/>
        <v>2.6666666666666665</v>
      </c>
      <c r="J338">
        <v>3</v>
      </c>
      <c r="L338">
        <v>3</v>
      </c>
      <c r="M338">
        <v>2</v>
      </c>
    </row>
    <row r="339" spans="1:16" x14ac:dyDescent="0.2">
      <c r="A339" s="2">
        <v>3</v>
      </c>
      <c r="B339" s="2" t="s">
        <v>33</v>
      </c>
      <c r="C339" t="s">
        <v>74</v>
      </c>
      <c r="D339" s="2">
        <v>75</v>
      </c>
      <c r="E339" s="2">
        <v>2.14</v>
      </c>
      <c r="F339" s="2" t="s">
        <v>37</v>
      </c>
      <c r="G339" s="2" t="s">
        <v>52</v>
      </c>
      <c r="H339" s="2">
        <v>4</v>
      </c>
      <c r="I339">
        <f t="shared" si="6"/>
        <v>4</v>
      </c>
      <c r="J339">
        <v>4</v>
      </c>
      <c r="L339">
        <v>4</v>
      </c>
      <c r="M339">
        <v>4</v>
      </c>
    </row>
    <row r="340" spans="1:16" x14ac:dyDescent="0.2">
      <c r="A340" s="2">
        <v>4</v>
      </c>
      <c r="B340" s="2" t="s">
        <v>33</v>
      </c>
      <c r="C340" t="s">
        <v>74</v>
      </c>
      <c r="D340" s="2">
        <v>44</v>
      </c>
      <c r="E340" s="2">
        <v>1.08</v>
      </c>
      <c r="F340" s="2" t="s">
        <v>37</v>
      </c>
      <c r="G340" s="2" t="s">
        <v>53</v>
      </c>
      <c r="H340" s="2">
        <v>4</v>
      </c>
      <c r="I340">
        <f t="shared" si="6"/>
        <v>4</v>
      </c>
      <c r="J340">
        <v>4</v>
      </c>
      <c r="L340">
        <v>4</v>
      </c>
      <c r="M340">
        <v>4</v>
      </c>
    </row>
    <row r="341" spans="1:16" x14ac:dyDescent="0.2">
      <c r="A341" s="2">
        <v>5</v>
      </c>
      <c r="B341" s="2" t="s">
        <v>33</v>
      </c>
      <c r="C341" t="s">
        <v>74</v>
      </c>
      <c r="D341" s="2">
        <v>56</v>
      </c>
      <c r="E341" s="2">
        <v>1.33</v>
      </c>
      <c r="F341" s="2" t="s">
        <v>37</v>
      </c>
      <c r="G341" s="2" t="s">
        <v>54</v>
      </c>
      <c r="H341" s="2">
        <v>2.3333333333333335</v>
      </c>
      <c r="I341">
        <f t="shared" si="6"/>
        <v>2.3333333333333335</v>
      </c>
      <c r="J341">
        <v>2</v>
      </c>
      <c r="L341">
        <v>3</v>
      </c>
      <c r="M341">
        <v>2</v>
      </c>
    </row>
    <row r="342" spans="1:16" x14ac:dyDescent="0.2">
      <c r="A342" s="2">
        <v>1</v>
      </c>
      <c r="B342" s="2" t="s">
        <v>33</v>
      </c>
      <c r="C342" t="s">
        <v>74</v>
      </c>
      <c r="D342" s="2">
        <v>111</v>
      </c>
      <c r="E342" s="2">
        <v>13.35</v>
      </c>
      <c r="F342" s="2" t="s">
        <v>38</v>
      </c>
      <c r="G342" s="2" t="s">
        <v>55</v>
      </c>
      <c r="H342" s="2">
        <v>4</v>
      </c>
      <c r="I342">
        <f t="shared" si="6"/>
        <v>4</v>
      </c>
      <c r="J342">
        <v>4</v>
      </c>
      <c r="L342">
        <v>4</v>
      </c>
      <c r="M342">
        <v>4</v>
      </c>
      <c r="P342">
        <v>4</v>
      </c>
    </row>
    <row r="343" spans="1:16" x14ac:dyDescent="0.2">
      <c r="A343" s="2">
        <v>2</v>
      </c>
      <c r="B343" s="2" t="s">
        <v>33</v>
      </c>
      <c r="C343" t="s">
        <v>74</v>
      </c>
      <c r="D343" s="2">
        <v>136</v>
      </c>
      <c r="E343" s="2">
        <v>20.94</v>
      </c>
      <c r="F343" s="2" t="s">
        <v>38</v>
      </c>
      <c r="G343" s="2" t="s">
        <v>56</v>
      </c>
      <c r="H343" s="2">
        <v>4</v>
      </c>
      <c r="I343">
        <f t="shared" si="6"/>
        <v>4</v>
      </c>
      <c r="J343">
        <v>4</v>
      </c>
      <c r="L343">
        <v>4</v>
      </c>
      <c r="M343">
        <v>4</v>
      </c>
      <c r="P343">
        <v>4</v>
      </c>
    </row>
    <row r="344" spans="1:16" x14ac:dyDescent="0.2">
      <c r="A344" s="2">
        <v>3</v>
      </c>
      <c r="B344" s="2" t="s">
        <v>33</v>
      </c>
      <c r="C344" t="s">
        <v>74</v>
      </c>
      <c r="D344" s="2">
        <v>139</v>
      </c>
      <c r="E344" s="2">
        <v>18.600000000000001</v>
      </c>
      <c r="F344" s="2" t="s">
        <v>38</v>
      </c>
      <c r="G344" s="2" t="s">
        <v>57</v>
      </c>
      <c r="H344" s="2">
        <v>3.25</v>
      </c>
      <c r="I344">
        <f t="shared" si="6"/>
        <v>3.25</v>
      </c>
      <c r="J344">
        <v>3</v>
      </c>
      <c r="L344">
        <v>3</v>
      </c>
      <c r="M344">
        <v>3</v>
      </c>
      <c r="P344">
        <v>4</v>
      </c>
    </row>
    <row r="345" spans="1:16" x14ac:dyDescent="0.2">
      <c r="A345" s="2">
        <v>4</v>
      </c>
      <c r="B345" s="2" t="s">
        <v>33</v>
      </c>
      <c r="C345" t="s">
        <v>74</v>
      </c>
      <c r="D345" s="2">
        <v>98</v>
      </c>
      <c r="E345" s="2">
        <v>16.46</v>
      </c>
      <c r="F345" s="2" t="s">
        <v>38</v>
      </c>
      <c r="G345" s="2" t="s">
        <v>58</v>
      </c>
      <c r="H345" s="2">
        <v>3</v>
      </c>
      <c r="I345">
        <f t="shared" si="6"/>
        <v>3</v>
      </c>
      <c r="J345">
        <v>3</v>
      </c>
      <c r="L345">
        <v>3</v>
      </c>
      <c r="M345">
        <v>3</v>
      </c>
      <c r="P345">
        <v>3</v>
      </c>
    </row>
    <row r="346" spans="1:16" x14ac:dyDescent="0.2">
      <c r="A346" s="2">
        <v>5</v>
      </c>
      <c r="B346" s="2" t="s">
        <v>33</v>
      </c>
      <c r="C346" t="s">
        <v>74</v>
      </c>
      <c r="D346" s="2">
        <v>139</v>
      </c>
      <c r="E346" s="2">
        <v>18.579999999999998</v>
      </c>
      <c r="F346" s="2" t="s">
        <v>38</v>
      </c>
      <c r="G346" s="2" t="s">
        <v>59</v>
      </c>
      <c r="H346" s="2">
        <v>3.75</v>
      </c>
      <c r="I346">
        <f t="shared" si="6"/>
        <v>3.75</v>
      </c>
      <c r="J346">
        <v>4</v>
      </c>
      <c r="L346">
        <v>4</v>
      </c>
      <c r="M346">
        <v>4</v>
      </c>
      <c r="P346">
        <v>3</v>
      </c>
    </row>
    <row r="347" spans="1:16" x14ac:dyDescent="0.2">
      <c r="A347" s="2">
        <v>1</v>
      </c>
      <c r="B347" s="2" t="s">
        <v>33</v>
      </c>
      <c r="C347" t="s">
        <v>74</v>
      </c>
      <c r="D347" s="2">
        <v>86</v>
      </c>
      <c r="E347" s="2">
        <v>3.14</v>
      </c>
      <c r="F347" s="2" t="s">
        <v>39</v>
      </c>
      <c r="G347" s="2" t="s">
        <v>60</v>
      </c>
      <c r="H347" s="2">
        <v>3.25</v>
      </c>
      <c r="I347">
        <f t="shared" si="6"/>
        <v>3.25</v>
      </c>
      <c r="J347">
        <v>3</v>
      </c>
      <c r="L347">
        <v>3</v>
      </c>
      <c r="M347">
        <v>3</v>
      </c>
      <c r="P347">
        <v>4</v>
      </c>
    </row>
    <row r="348" spans="1:16" x14ac:dyDescent="0.2">
      <c r="A348" s="2">
        <v>2</v>
      </c>
      <c r="B348" s="2" t="s">
        <v>33</v>
      </c>
      <c r="C348" t="s">
        <v>74</v>
      </c>
      <c r="D348" s="2">
        <v>116</v>
      </c>
      <c r="E348" s="2">
        <v>4.33</v>
      </c>
      <c r="F348" s="2" t="s">
        <v>39</v>
      </c>
      <c r="G348" s="2" t="s">
        <v>61</v>
      </c>
      <c r="H348" s="2">
        <v>3.75</v>
      </c>
      <c r="I348">
        <f t="shared" si="6"/>
        <v>3.75</v>
      </c>
      <c r="J348">
        <v>3</v>
      </c>
      <c r="L348">
        <v>4</v>
      </c>
      <c r="M348">
        <v>4</v>
      </c>
      <c r="P348">
        <v>4</v>
      </c>
    </row>
    <row r="349" spans="1:16" x14ac:dyDescent="0.2">
      <c r="A349" s="2">
        <v>3</v>
      </c>
      <c r="B349" s="2" t="s">
        <v>33</v>
      </c>
      <c r="C349" t="s">
        <v>74</v>
      </c>
      <c r="D349" s="2">
        <v>83</v>
      </c>
      <c r="E349" s="2">
        <v>3.07</v>
      </c>
      <c r="F349" s="2" t="s">
        <v>39</v>
      </c>
      <c r="G349" s="2" t="s">
        <v>62</v>
      </c>
      <c r="H349" s="2">
        <v>3.5</v>
      </c>
      <c r="I349">
        <f t="shared" si="6"/>
        <v>3.5</v>
      </c>
      <c r="J349">
        <v>3</v>
      </c>
      <c r="L349">
        <v>4</v>
      </c>
      <c r="M349">
        <v>4</v>
      </c>
      <c r="P349">
        <v>3</v>
      </c>
    </row>
    <row r="350" spans="1:16" x14ac:dyDescent="0.2">
      <c r="A350" s="2">
        <v>4</v>
      </c>
      <c r="B350" s="2" t="s">
        <v>33</v>
      </c>
      <c r="C350" t="s">
        <v>74</v>
      </c>
      <c r="D350" s="2">
        <v>67</v>
      </c>
      <c r="E350" s="2">
        <v>2.11</v>
      </c>
      <c r="F350" s="2" t="s">
        <v>39</v>
      </c>
      <c r="G350" s="2" t="s">
        <v>63</v>
      </c>
      <c r="H350" s="2">
        <v>3.25</v>
      </c>
      <c r="I350">
        <f t="shared" si="6"/>
        <v>3.25</v>
      </c>
      <c r="J350">
        <v>3</v>
      </c>
      <c r="L350">
        <v>3</v>
      </c>
      <c r="M350">
        <v>3</v>
      </c>
      <c r="P350">
        <v>4</v>
      </c>
    </row>
    <row r="351" spans="1:16" x14ac:dyDescent="0.2">
      <c r="A351" s="2">
        <v>5</v>
      </c>
      <c r="B351" s="2" t="s">
        <v>33</v>
      </c>
      <c r="C351" t="s">
        <v>74</v>
      </c>
      <c r="D351" s="2">
        <v>58</v>
      </c>
      <c r="E351" s="2">
        <v>1.8</v>
      </c>
      <c r="F351" s="2" t="s">
        <v>39</v>
      </c>
      <c r="G351" s="2" t="s">
        <v>64</v>
      </c>
      <c r="H351" s="2">
        <v>2.75</v>
      </c>
      <c r="I351">
        <f t="shared" si="6"/>
        <v>2.75</v>
      </c>
      <c r="J351">
        <v>3</v>
      </c>
      <c r="L351">
        <v>3</v>
      </c>
      <c r="M351">
        <v>3</v>
      </c>
      <c r="P351">
        <v>2</v>
      </c>
    </row>
    <row r="352" spans="1:16" x14ac:dyDescent="0.2">
      <c r="A352" s="2">
        <v>1</v>
      </c>
      <c r="B352" s="2" t="s">
        <v>34</v>
      </c>
      <c r="C352" t="s">
        <v>74</v>
      </c>
      <c r="D352" s="2">
        <v>64</v>
      </c>
      <c r="E352" s="2">
        <v>0.23</v>
      </c>
      <c r="F352" s="2" t="s">
        <v>35</v>
      </c>
      <c r="G352" s="2" t="s">
        <v>40</v>
      </c>
      <c r="H352" s="2">
        <v>3.75</v>
      </c>
      <c r="I352">
        <f t="shared" si="6"/>
        <v>3.75</v>
      </c>
      <c r="J352">
        <v>3</v>
      </c>
      <c r="K352">
        <v>3</v>
      </c>
      <c r="L352">
        <v>4</v>
      </c>
      <c r="M352">
        <v>5</v>
      </c>
    </row>
    <row r="353" spans="1:16" x14ac:dyDescent="0.2">
      <c r="A353" s="2">
        <v>2</v>
      </c>
      <c r="B353" s="2" t="s">
        <v>34</v>
      </c>
      <c r="C353" t="s">
        <v>74</v>
      </c>
      <c r="D353" s="2">
        <v>62</v>
      </c>
      <c r="E353" s="2">
        <v>0.28000000000000003</v>
      </c>
      <c r="F353" s="2" t="s">
        <v>35</v>
      </c>
      <c r="G353" s="2" t="s">
        <v>41</v>
      </c>
      <c r="H353" s="2">
        <v>3.25</v>
      </c>
      <c r="I353">
        <f t="shared" si="6"/>
        <v>3.25</v>
      </c>
      <c r="J353">
        <v>4</v>
      </c>
      <c r="K353">
        <v>1</v>
      </c>
      <c r="L353">
        <v>4</v>
      </c>
      <c r="M353">
        <v>4</v>
      </c>
    </row>
    <row r="354" spans="1:16" x14ac:dyDescent="0.2">
      <c r="A354" s="2">
        <v>3</v>
      </c>
      <c r="B354" s="2" t="s">
        <v>34</v>
      </c>
      <c r="C354" t="s">
        <v>74</v>
      </c>
      <c r="D354" s="2">
        <v>85</v>
      </c>
      <c r="E354" s="2">
        <v>0.31</v>
      </c>
      <c r="F354" s="2" t="s">
        <v>35</v>
      </c>
      <c r="G354" s="2" t="s">
        <v>42</v>
      </c>
      <c r="H354" s="2">
        <v>3.5</v>
      </c>
      <c r="I354">
        <f t="shared" si="6"/>
        <v>3.5</v>
      </c>
      <c r="J354">
        <v>4</v>
      </c>
      <c r="K354">
        <v>4</v>
      </c>
      <c r="L354">
        <v>1</v>
      </c>
      <c r="M354">
        <v>5</v>
      </c>
    </row>
    <row r="355" spans="1:16" x14ac:dyDescent="0.2">
      <c r="A355" s="2">
        <v>4</v>
      </c>
      <c r="B355" s="2" t="s">
        <v>34</v>
      </c>
      <c r="C355" t="s">
        <v>74</v>
      </c>
      <c r="D355" s="2">
        <v>57</v>
      </c>
      <c r="E355" s="2">
        <v>0.26</v>
      </c>
      <c r="F355" s="2" t="s">
        <v>35</v>
      </c>
      <c r="G355" s="2" t="s">
        <v>43</v>
      </c>
      <c r="H355" s="2">
        <v>4</v>
      </c>
      <c r="I355">
        <f t="shared" si="6"/>
        <v>4</v>
      </c>
      <c r="J355">
        <v>5</v>
      </c>
      <c r="K355">
        <v>1</v>
      </c>
      <c r="L355">
        <v>5</v>
      </c>
      <c r="M355">
        <v>5</v>
      </c>
    </row>
    <row r="356" spans="1:16" x14ac:dyDescent="0.2">
      <c r="A356" s="2">
        <v>5</v>
      </c>
      <c r="B356" s="2" t="s">
        <v>34</v>
      </c>
      <c r="C356" t="s">
        <v>74</v>
      </c>
      <c r="D356" s="2">
        <v>62</v>
      </c>
      <c r="E356" s="2">
        <v>0.26</v>
      </c>
      <c r="F356" s="2" t="s">
        <v>35</v>
      </c>
      <c r="G356" s="2" t="s">
        <v>44</v>
      </c>
      <c r="H356" s="2">
        <v>4.5</v>
      </c>
      <c r="I356">
        <f t="shared" si="6"/>
        <v>4.5</v>
      </c>
      <c r="J356">
        <v>5</v>
      </c>
      <c r="K356">
        <v>3</v>
      </c>
      <c r="L356">
        <v>5</v>
      </c>
      <c r="M356">
        <v>5</v>
      </c>
    </row>
    <row r="357" spans="1:16" x14ac:dyDescent="0.2">
      <c r="A357" s="2">
        <v>1</v>
      </c>
      <c r="B357" s="2" t="s">
        <v>34</v>
      </c>
      <c r="C357" t="s">
        <v>74</v>
      </c>
      <c r="D357" s="2">
        <v>132</v>
      </c>
      <c r="E357" s="2">
        <v>2.3199999999999998</v>
      </c>
      <c r="F357" s="2" t="s">
        <v>36</v>
      </c>
      <c r="G357" s="2" t="s">
        <v>45</v>
      </c>
      <c r="H357" s="2">
        <v>3.3333333333333335</v>
      </c>
      <c r="I357">
        <f t="shared" si="6"/>
        <v>3.3333333333333335</v>
      </c>
      <c r="J357">
        <v>4</v>
      </c>
      <c r="K357">
        <v>4</v>
      </c>
      <c r="L357">
        <v>4</v>
      </c>
      <c r="M357">
        <v>4</v>
      </c>
      <c r="N357">
        <v>2</v>
      </c>
      <c r="O357">
        <v>2</v>
      </c>
    </row>
    <row r="358" spans="1:16" x14ac:dyDescent="0.2">
      <c r="A358" s="2">
        <v>2</v>
      </c>
      <c r="B358" s="2" t="s">
        <v>34</v>
      </c>
      <c r="C358" t="s">
        <v>74</v>
      </c>
      <c r="D358" s="2">
        <v>146</v>
      </c>
      <c r="E358" s="2">
        <v>2.37</v>
      </c>
      <c r="F358" s="2" t="s">
        <v>36</v>
      </c>
      <c r="G358" s="2" t="s">
        <v>46</v>
      </c>
      <c r="H358" s="2">
        <v>3</v>
      </c>
      <c r="I358">
        <f t="shared" si="6"/>
        <v>3</v>
      </c>
      <c r="J358">
        <v>3</v>
      </c>
      <c r="K358">
        <v>3</v>
      </c>
      <c r="L358">
        <v>3</v>
      </c>
      <c r="M358">
        <v>3</v>
      </c>
      <c r="N358">
        <v>3</v>
      </c>
      <c r="O358">
        <v>3</v>
      </c>
    </row>
    <row r="359" spans="1:16" x14ac:dyDescent="0.2">
      <c r="A359" s="2">
        <v>3</v>
      </c>
      <c r="B359" s="2" t="s">
        <v>34</v>
      </c>
      <c r="C359" t="s">
        <v>74</v>
      </c>
      <c r="D359" s="2">
        <v>108</v>
      </c>
      <c r="E359" s="2">
        <v>1.67</v>
      </c>
      <c r="F359" s="2" t="s">
        <v>36</v>
      </c>
      <c r="G359" s="2" t="s">
        <v>47</v>
      </c>
      <c r="H359" s="2">
        <v>3.6666666666666665</v>
      </c>
      <c r="I359">
        <f t="shared" si="6"/>
        <v>3.6666666666666665</v>
      </c>
      <c r="J359">
        <v>4</v>
      </c>
      <c r="K359">
        <v>4</v>
      </c>
      <c r="L359">
        <v>4</v>
      </c>
      <c r="M359">
        <v>4</v>
      </c>
      <c r="N359">
        <v>3</v>
      </c>
      <c r="O359">
        <v>3</v>
      </c>
    </row>
    <row r="360" spans="1:16" x14ac:dyDescent="0.2">
      <c r="A360" s="2">
        <v>4</v>
      </c>
      <c r="B360" s="2" t="s">
        <v>34</v>
      </c>
      <c r="C360" t="s">
        <v>74</v>
      </c>
      <c r="D360" s="2">
        <v>141</v>
      </c>
      <c r="E360" s="2">
        <v>2.14</v>
      </c>
      <c r="F360" s="2" t="s">
        <v>36</v>
      </c>
      <c r="G360" s="2" t="s">
        <v>48</v>
      </c>
      <c r="H360" s="2">
        <v>3.6666666666666665</v>
      </c>
      <c r="I360">
        <f t="shared" si="6"/>
        <v>3.6666666666666665</v>
      </c>
      <c r="J360">
        <v>4</v>
      </c>
      <c r="K360">
        <v>4</v>
      </c>
      <c r="L360">
        <v>4</v>
      </c>
      <c r="M360">
        <v>4</v>
      </c>
      <c r="N360">
        <v>3</v>
      </c>
      <c r="O360">
        <v>3</v>
      </c>
    </row>
    <row r="361" spans="1:16" x14ac:dyDescent="0.2">
      <c r="A361" s="2">
        <v>5</v>
      </c>
      <c r="B361" s="2" t="s">
        <v>34</v>
      </c>
      <c r="C361" t="s">
        <v>74</v>
      </c>
      <c r="D361" s="2">
        <v>146</v>
      </c>
      <c r="E361" s="2">
        <v>2.72</v>
      </c>
      <c r="F361" s="2" t="s">
        <v>36</v>
      </c>
      <c r="G361" s="2" t="s">
        <v>49</v>
      </c>
      <c r="H361" s="2">
        <v>3.6666666666666665</v>
      </c>
      <c r="I361">
        <f t="shared" si="6"/>
        <v>3.6666666666666665</v>
      </c>
      <c r="J361">
        <v>4</v>
      </c>
      <c r="K361">
        <v>4</v>
      </c>
      <c r="L361">
        <v>4</v>
      </c>
      <c r="M361">
        <v>4</v>
      </c>
      <c r="N361">
        <v>3</v>
      </c>
      <c r="O361">
        <v>3</v>
      </c>
    </row>
    <row r="362" spans="1:16" x14ac:dyDescent="0.2">
      <c r="A362" s="2">
        <v>1</v>
      </c>
      <c r="B362" s="2" t="s">
        <v>34</v>
      </c>
      <c r="C362" t="s">
        <v>74</v>
      </c>
      <c r="D362" s="2">
        <v>102</v>
      </c>
      <c r="E362" s="2">
        <v>1.87</v>
      </c>
      <c r="F362" s="2" t="s">
        <v>37</v>
      </c>
      <c r="G362" s="2" t="s">
        <v>50</v>
      </c>
      <c r="H362" s="2">
        <v>3</v>
      </c>
      <c r="I362">
        <f t="shared" si="6"/>
        <v>3</v>
      </c>
      <c r="J362">
        <v>3</v>
      </c>
      <c r="L362">
        <v>3</v>
      </c>
      <c r="M362">
        <v>3</v>
      </c>
    </row>
    <row r="363" spans="1:16" x14ac:dyDescent="0.2">
      <c r="A363" s="2">
        <v>2</v>
      </c>
      <c r="B363" s="2" t="s">
        <v>34</v>
      </c>
      <c r="C363" t="s">
        <v>74</v>
      </c>
      <c r="D363" s="2">
        <v>69</v>
      </c>
      <c r="E363" s="2">
        <v>1</v>
      </c>
      <c r="F363" s="2" t="s">
        <v>37</v>
      </c>
      <c r="G363" s="2" t="s">
        <v>51</v>
      </c>
      <c r="H363" s="2">
        <v>2.6666666666666665</v>
      </c>
      <c r="I363">
        <f t="shared" si="6"/>
        <v>2.6666666666666665</v>
      </c>
      <c r="J363">
        <v>2</v>
      </c>
      <c r="L363">
        <v>2</v>
      </c>
      <c r="M363">
        <v>4</v>
      </c>
    </row>
    <row r="364" spans="1:16" x14ac:dyDescent="0.2">
      <c r="A364" s="2">
        <v>3</v>
      </c>
      <c r="B364" s="2" t="s">
        <v>34</v>
      </c>
      <c r="C364" t="s">
        <v>74</v>
      </c>
      <c r="D364" s="2">
        <v>68</v>
      </c>
      <c r="E364" s="2">
        <v>0.82</v>
      </c>
      <c r="F364" s="2" t="s">
        <v>37</v>
      </c>
      <c r="G364" s="2" t="s">
        <v>52</v>
      </c>
      <c r="H364" s="2">
        <v>3</v>
      </c>
      <c r="I364">
        <f t="shared" si="6"/>
        <v>3</v>
      </c>
      <c r="J364">
        <v>3</v>
      </c>
      <c r="L364">
        <v>2</v>
      </c>
      <c r="M364">
        <v>4</v>
      </c>
    </row>
    <row r="365" spans="1:16" x14ac:dyDescent="0.2">
      <c r="A365" s="2">
        <v>4</v>
      </c>
      <c r="B365" s="2" t="s">
        <v>34</v>
      </c>
      <c r="C365" t="s">
        <v>74</v>
      </c>
      <c r="D365" s="2">
        <v>40</v>
      </c>
      <c r="E365" s="2">
        <v>0.4</v>
      </c>
      <c r="F365" s="2" t="s">
        <v>37</v>
      </c>
      <c r="G365" s="2" t="s">
        <v>53</v>
      </c>
      <c r="H365" s="2">
        <v>4</v>
      </c>
      <c r="I365">
        <f t="shared" si="6"/>
        <v>4</v>
      </c>
      <c r="J365">
        <v>4</v>
      </c>
      <c r="L365">
        <v>4</v>
      </c>
      <c r="M365">
        <v>4</v>
      </c>
    </row>
    <row r="366" spans="1:16" x14ac:dyDescent="0.2">
      <c r="A366" s="2">
        <v>5</v>
      </c>
      <c r="B366" s="2" t="s">
        <v>34</v>
      </c>
      <c r="C366" t="s">
        <v>74</v>
      </c>
      <c r="D366" s="2">
        <v>78</v>
      </c>
      <c r="E366" s="2">
        <v>1.2</v>
      </c>
      <c r="F366" s="2" t="s">
        <v>37</v>
      </c>
      <c r="G366" s="2" t="s">
        <v>54</v>
      </c>
      <c r="H366" s="2">
        <v>4</v>
      </c>
      <c r="I366">
        <f t="shared" si="6"/>
        <v>4</v>
      </c>
      <c r="J366">
        <v>4</v>
      </c>
      <c r="L366">
        <v>4</v>
      </c>
      <c r="M366">
        <v>4</v>
      </c>
    </row>
    <row r="367" spans="1:16" x14ac:dyDescent="0.2">
      <c r="A367" s="2">
        <v>1</v>
      </c>
      <c r="B367" s="2" t="s">
        <v>34</v>
      </c>
      <c r="C367" t="s">
        <v>74</v>
      </c>
      <c r="D367" s="2">
        <v>141</v>
      </c>
      <c r="E367" s="2">
        <v>2.72</v>
      </c>
      <c r="F367" s="2" t="s">
        <v>38</v>
      </c>
      <c r="G367" s="2" t="s">
        <v>55</v>
      </c>
      <c r="H367" s="2">
        <v>4</v>
      </c>
      <c r="I367">
        <f t="shared" si="6"/>
        <v>4</v>
      </c>
      <c r="J367">
        <v>4</v>
      </c>
      <c r="L367">
        <v>4</v>
      </c>
      <c r="M367">
        <v>4</v>
      </c>
      <c r="P367">
        <v>4</v>
      </c>
    </row>
    <row r="368" spans="1:16" x14ac:dyDescent="0.2">
      <c r="A368" s="2">
        <v>2</v>
      </c>
      <c r="B368" s="2" t="s">
        <v>34</v>
      </c>
      <c r="C368" t="s">
        <v>74</v>
      </c>
      <c r="D368" s="2">
        <v>125</v>
      </c>
      <c r="E368" s="2">
        <v>2.0099999999999998</v>
      </c>
      <c r="F368" s="2" t="s">
        <v>38</v>
      </c>
      <c r="G368" s="2" t="s">
        <v>56</v>
      </c>
      <c r="H368" s="2">
        <v>4</v>
      </c>
      <c r="I368">
        <f t="shared" si="6"/>
        <v>4</v>
      </c>
      <c r="J368">
        <v>4</v>
      </c>
      <c r="L368">
        <v>4</v>
      </c>
      <c r="M368">
        <v>4</v>
      </c>
      <c r="P368">
        <v>4</v>
      </c>
    </row>
    <row r="369" spans="1:16" x14ac:dyDescent="0.2">
      <c r="A369" s="2">
        <v>3</v>
      </c>
      <c r="B369" s="2" t="s">
        <v>34</v>
      </c>
      <c r="C369" t="s">
        <v>74</v>
      </c>
      <c r="D369" s="2">
        <v>144</v>
      </c>
      <c r="E369" s="2">
        <v>2.72</v>
      </c>
      <c r="F369" s="2" t="s">
        <v>38</v>
      </c>
      <c r="G369" s="2" t="s">
        <v>57</v>
      </c>
      <c r="H369" s="2">
        <v>3.25</v>
      </c>
      <c r="I369">
        <f t="shared" si="6"/>
        <v>3.25</v>
      </c>
      <c r="J369">
        <v>3</v>
      </c>
      <c r="L369">
        <v>3</v>
      </c>
      <c r="M369">
        <v>3</v>
      </c>
      <c r="P369">
        <v>4</v>
      </c>
    </row>
    <row r="370" spans="1:16" x14ac:dyDescent="0.2">
      <c r="A370" s="2">
        <v>4</v>
      </c>
      <c r="B370" s="2" t="s">
        <v>34</v>
      </c>
      <c r="C370" t="s">
        <v>74</v>
      </c>
      <c r="D370" s="2">
        <v>128</v>
      </c>
      <c r="E370" s="2">
        <v>2.61</v>
      </c>
      <c r="F370" s="2" t="s">
        <v>38</v>
      </c>
      <c r="G370" s="2" t="s">
        <v>58</v>
      </c>
      <c r="H370" s="2">
        <v>3</v>
      </c>
      <c r="I370">
        <f t="shared" si="6"/>
        <v>3</v>
      </c>
      <c r="J370">
        <v>3</v>
      </c>
      <c r="L370">
        <v>3</v>
      </c>
      <c r="M370">
        <v>3</v>
      </c>
      <c r="P370">
        <v>3</v>
      </c>
    </row>
    <row r="371" spans="1:16" x14ac:dyDescent="0.2">
      <c r="A371" s="2">
        <v>5</v>
      </c>
      <c r="B371" s="2" t="s">
        <v>34</v>
      </c>
      <c r="C371" t="s">
        <v>74</v>
      </c>
      <c r="D371" s="2">
        <v>82</v>
      </c>
      <c r="E371" s="2">
        <v>1.1200000000000001</v>
      </c>
      <c r="F371" s="2" t="s">
        <v>38</v>
      </c>
      <c r="G371" s="2" t="s">
        <v>59</v>
      </c>
      <c r="H371" s="2">
        <v>3.75</v>
      </c>
      <c r="I371">
        <f t="shared" si="6"/>
        <v>3.75</v>
      </c>
      <c r="J371">
        <v>4</v>
      </c>
      <c r="L371">
        <v>4</v>
      </c>
      <c r="M371">
        <v>4</v>
      </c>
      <c r="P371">
        <v>3</v>
      </c>
    </row>
    <row r="372" spans="1:16" x14ac:dyDescent="0.2">
      <c r="A372" s="2">
        <v>1</v>
      </c>
      <c r="B372" s="2" t="s">
        <v>34</v>
      </c>
      <c r="C372" t="s">
        <v>74</v>
      </c>
      <c r="D372" s="2">
        <v>32</v>
      </c>
      <c r="E372" s="2">
        <v>0.3</v>
      </c>
      <c r="F372" s="2" t="s">
        <v>39</v>
      </c>
      <c r="G372" s="2" t="s">
        <v>60</v>
      </c>
      <c r="H372" s="2">
        <v>3</v>
      </c>
      <c r="I372">
        <f t="shared" si="6"/>
        <v>3</v>
      </c>
      <c r="J372">
        <v>3</v>
      </c>
      <c r="L372">
        <v>3</v>
      </c>
      <c r="M372">
        <v>3</v>
      </c>
      <c r="P372">
        <v>3</v>
      </c>
    </row>
    <row r="373" spans="1:16" x14ac:dyDescent="0.2">
      <c r="A373" s="2">
        <v>2</v>
      </c>
      <c r="B373" s="2" t="s">
        <v>34</v>
      </c>
      <c r="C373" t="s">
        <v>74</v>
      </c>
      <c r="D373" s="2">
        <v>129</v>
      </c>
      <c r="E373" s="2">
        <v>2.48</v>
      </c>
      <c r="F373" s="2" t="s">
        <v>39</v>
      </c>
      <c r="G373" s="2" t="s">
        <v>61</v>
      </c>
      <c r="H373" s="2">
        <v>3</v>
      </c>
      <c r="I373">
        <f t="shared" si="6"/>
        <v>3</v>
      </c>
      <c r="J373">
        <v>3</v>
      </c>
      <c r="L373">
        <v>3</v>
      </c>
      <c r="M373">
        <v>3</v>
      </c>
      <c r="P373">
        <v>3</v>
      </c>
    </row>
    <row r="374" spans="1:16" x14ac:dyDescent="0.2">
      <c r="A374" s="2">
        <v>3</v>
      </c>
      <c r="B374" s="2" t="s">
        <v>34</v>
      </c>
      <c r="C374" t="s">
        <v>74</v>
      </c>
      <c r="D374" s="2">
        <v>119</v>
      </c>
      <c r="E374" s="2">
        <v>2.48</v>
      </c>
      <c r="F374" s="2" t="s">
        <v>39</v>
      </c>
      <c r="G374" s="2" t="s">
        <v>62</v>
      </c>
      <c r="H374" s="2">
        <v>3.5</v>
      </c>
      <c r="I374">
        <f t="shared" si="6"/>
        <v>3.5</v>
      </c>
      <c r="J374">
        <v>3</v>
      </c>
      <c r="L374">
        <v>4</v>
      </c>
      <c r="M374">
        <v>4</v>
      </c>
      <c r="P374">
        <v>3</v>
      </c>
    </row>
    <row r="375" spans="1:16" x14ac:dyDescent="0.2">
      <c r="A375" s="2">
        <v>4</v>
      </c>
      <c r="B375" s="2" t="s">
        <v>34</v>
      </c>
      <c r="C375" t="s">
        <v>74</v>
      </c>
      <c r="D375" s="2">
        <v>86</v>
      </c>
      <c r="E375" s="2">
        <v>1.56</v>
      </c>
      <c r="F375" s="2" t="s">
        <v>39</v>
      </c>
      <c r="G375" s="2" t="s">
        <v>63</v>
      </c>
      <c r="H375" s="2">
        <v>3.25</v>
      </c>
      <c r="I375">
        <f t="shared" si="6"/>
        <v>3.25</v>
      </c>
      <c r="J375">
        <v>3</v>
      </c>
      <c r="L375">
        <v>3</v>
      </c>
      <c r="M375">
        <v>3</v>
      </c>
      <c r="P375">
        <v>4</v>
      </c>
    </row>
    <row r="376" spans="1:16" x14ac:dyDescent="0.2">
      <c r="A376" s="2">
        <v>5</v>
      </c>
      <c r="B376" s="2" t="s">
        <v>34</v>
      </c>
      <c r="C376" t="s">
        <v>74</v>
      </c>
      <c r="D376" s="2">
        <v>108</v>
      </c>
      <c r="E376" s="2">
        <v>2.23</v>
      </c>
      <c r="F376" s="2" t="s">
        <v>39</v>
      </c>
      <c r="G376" s="2" t="s">
        <v>64</v>
      </c>
      <c r="H376" s="2">
        <v>3</v>
      </c>
      <c r="I376">
        <f t="shared" si="6"/>
        <v>3</v>
      </c>
      <c r="J376">
        <v>3</v>
      </c>
      <c r="L376">
        <v>3</v>
      </c>
      <c r="M376">
        <v>3</v>
      </c>
      <c r="P376">
        <v>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Standard</vt:lpstr>
      <vt:lpstr>by category</vt:lpstr>
      <vt:lpstr>by model</vt:lpstr>
      <vt:lpstr>balance</vt:lpstr>
      <vt:lpstr>balance rank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Yuran</dc:creator>
  <cp:lastModifiedBy>Zhang, Yuran</cp:lastModifiedBy>
  <dcterms:created xsi:type="dcterms:W3CDTF">2026-03-24T21:22:56Z</dcterms:created>
  <dcterms:modified xsi:type="dcterms:W3CDTF">2026-03-25T08:01:46Z</dcterms:modified>
</cp:coreProperties>
</file>